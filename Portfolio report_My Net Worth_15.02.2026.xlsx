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ata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_(&quot;$&quot;* #,##0.00_);_(&quot;$&quot;* \(#,##0.00\);_(&quot;$&quot;* &quot;-&quot;??_);_(@_)"/>
    <numFmt numFmtId="165" formatCode="0.0&quot;%&quot;"/>
  </numFmts>
  <fonts count="17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sz val="11"/>
    </font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sz val="11"/>
    </font>
    <font>
      <b val="1"/>
      <color rgb="00FFFFFF"/>
      <sz val="16"/>
    </font>
    <font>
      <i val="1"/>
      <color rgb="00666666"/>
      <sz val="10"/>
    </font>
    <font>
      <b val="1"/>
      <color rgb="00FFFFFF"/>
      <sz val="12"/>
    </font>
    <font>
      <b val="1"/>
      <color rgb="00FFFFFF"/>
      <sz val="13"/>
    </font>
    <font>
      <b val="1"/>
      <color rgb="00000000"/>
      <sz val="16"/>
    </font>
    <font>
      <b val="1"/>
      <color rgb="00000000"/>
      <sz val="10"/>
    </font>
    <font>
      <b val="1"/>
      <color rgb="00000000"/>
      <sz val="12"/>
    </font>
    <font>
      <b val="1"/>
      <color rgb="00000000"/>
      <sz val="11"/>
    </font>
  </fonts>
  <fills count="23">
    <fill>
      <patternFill/>
    </fill>
    <fill>
      <patternFill patternType="gray125"/>
    </fill>
    <fill>
      <patternFill patternType="solid">
        <fgColor rgb="FF1F4788"/>
        <bgColor rgb="FF1F4788"/>
      </patternFill>
    </fill>
    <fill>
      <patternFill patternType="solid">
        <fgColor rgb="FFD9E1F2"/>
        <bgColor rgb="FFD9E1F2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F1DCDB"/>
        <bgColor rgb="FFF1DCDB"/>
      </patternFill>
    </fill>
    <fill>
      <patternFill patternType="solid">
        <fgColor rgb="FFE7E6E6"/>
        <bgColor rgb="FFE7E6E6"/>
      </patternFill>
    </fill>
    <fill>
      <patternFill patternType="solid">
        <fgColor rgb="001F4788"/>
        <bgColor rgb="001F4788"/>
      </patternFill>
    </fill>
    <fill>
      <patternFill patternType="solid">
        <fgColor rgb="00D9E1F2"/>
        <bgColor rgb="00D9E1F2"/>
      </patternFill>
    </fill>
    <fill>
      <patternFill patternType="solid">
        <fgColor rgb="00FFFFFF"/>
        <bgColor rgb="00FFFFFF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F1DCDB"/>
        <bgColor rgb="00F1DCDB"/>
      </patternFill>
    </fill>
    <fill>
      <patternFill patternType="solid">
        <fgColor rgb="00E7E6E6"/>
        <bgColor rgb="00E7E6E6"/>
      </patternFill>
    </fill>
    <fill>
      <patternFill patternType="solid">
        <fgColor rgb="002E5C8A"/>
        <bgColor rgb="002E5C8A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C5504F"/>
        <bgColor rgb="00C5504F"/>
      </patternFill>
    </fill>
    <fill>
      <patternFill patternType="solid">
        <fgColor rgb="00F2F2F2"/>
        <bgColor rgb="00F2F2F2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2">
    <xf numFmtId="0" fontId="5" fillId="0" borderId="0"/>
    <xf numFmtId="44" fontId="5" fillId="0" borderId="0"/>
  </cellStyleXfs>
  <cellXfs count="67">
    <xf numFmtId="0" fontId="0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4" fontId="0" fillId="0" borderId="0" pivotButton="0" quotePrefix="0" xfId="1"/>
    <xf numFmtId="164" fontId="3" fillId="2" borderId="1" applyAlignment="1" pivotButton="0" quotePrefix="0" xfId="1">
      <alignment horizontal="center" vertical="center" wrapText="1"/>
    </xf>
    <xf numFmtId="164" fontId="1" fillId="4" borderId="1" applyAlignment="1" pivotButton="0" quotePrefix="0" xfId="1">
      <alignment horizontal="right" vertical="center"/>
    </xf>
    <xf numFmtId="164" fontId="0" fillId="4" borderId="1" applyAlignment="1" pivotButton="0" quotePrefix="0" xfId="1">
      <alignment horizontal="right" vertical="center"/>
    </xf>
    <xf numFmtId="164" fontId="1" fillId="5" borderId="1" applyAlignment="1" pivotButton="0" quotePrefix="0" xfId="1">
      <alignment horizontal="right" vertical="center"/>
    </xf>
    <xf numFmtId="164" fontId="0" fillId="5" borderId="1" applyAlignment="1" pivotButton="0" quotePrefix="0" xfId="1">
      <alignment horizontal="right" vertical="center"/>
    </xf>
    <xf numFmtId="164" fontId="1" fillId="6" borderId="1" applyAlignment="1" pivotButton="0" quotePrefix="0" xfId="1">
      <alignment horizontal="right" vertical="center"/>
    </xf>
    <xf numFmtId="164" fontId="0" fillId="6" borderId="1" applyAlignment="1" pivotButton="0" quotePrefix="0" xfId="1">
      <alignment horizontal="right" vertical="center"/>
    </xf>
    <xf numFmtId="164" fontId="1" fillId="7" borderId="1" applyAlignment="1" pivotButton="0" quotePrefix="0" xfId="1">
      <alignment horizontal="right" vertical="center"/>
    </xf>
    <xf numFmtId="164" fontId="0" fillId="7" borderId="1" applyAlignment="1" pivotButton="0" quotePrefix="0" xfId="1">
      <alignment horizontal="right" vertical="center"/>
    </xf>
    <xf numFmtId="164" fontId="1" fillId="8" borderId="1" applyAlignment="1" pivotButton="0" quotePrefix="0" xfId="1">
      <alignment horizontal="right" vertical="center"/>
    </xf>
    <xf numFmtId="164" fontId="0" fillId="8" borderId="1" applyAlignment="1" pivotButton="0" quotePrefix="0" xfId="1">
      <alignment horizontal="right" vertical="center"/>
    </xf>
    <xf numFmtId="164" fontId="1" fillId="9" borderId="1" applyAlignment="1" pivotButton="0" quotePrefix="0" xfId="1">
      <alignment horizontal="right" vertical="center"/>
    </xf>
    <xf numFmtId="164" fontId="0" fillId="9" borderId="1" applyAlignment="1" pivotButton="0" quotePrefix="0" xfId="1">
      <alignment horizontal="right" vertical="center"/>
    </xf>
    <xf numFmtId="0" fontId="9" fillId="1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1" fillId="18" borderId="0" applyAlignment="1" pivotButton="0" quotePrefix="0" xfId="0">
      <alignment horizontal="left" vertical="center"/>
    </xf>
    <xf numFmtId="0" fontId="7" fillId="11" borderId="11" applyAlignment="1" pivotButton="0" quotePrefix="0" xfId="0">
      <alignment horizontal="left" vertical="center"/>
    </xf>
    <xf numFmtId="0" fontId="12" fillId="19" borderId="11" applyAlignment="1" pivotButton="0" quotePrefix="0" xfId="0">
      <alignment horizontal="right" vertical="center"/>
    </xf>
    <xf numFmtId="0" fontId="0" fillId="0" borderId="14" pivotButton="0" quotePrefix="0" xfId="0"/>
    <xf numFmtId="0" fontId="0" fillId="0" borderId="15" pivotButton="0" quotePrefix="0" xfId="0"/>
    <xf numFmtId="0" fontId="12" fillId="20" borderId="11" applyAlignment="1" pivotButton="0" quotePrefix="0" xfId="0">
      <alignment horizontal="right" vertical="center"/>
    </xf>
    <xf numFmtId="0" fontId="12" fillId="21" borderId="11" applyAlignment="1" pivotButton="0" quotePrefix="0" xfId="0">
      <alignment horizontal="right" vertical="center"/>
    </xf>
    <xf numFmtId="164" fontId="0" fillId="0" borderId="0" pivotButton="0" quotePrefix="0" xfId="1"/>
    <xf numFmtId="0" fontId="6" fillId="10" borderId="1" applyAlignment="1" pivotButton="0" quotePrefix="0" xfId="0">
      <alignment horizontal="left" vertical="center" wrapText="1"/>
    </xf>
    <xf numFmtId="0" fontId="7" fillId="10" borderId="11" applyAlignment="1" pivotButton="0" quotePrefix="0" xfId="0">
      <alignment horizontal="center" vertical="center" wrapText="1"/>
    </xf>
    <xf numFmtId="164" fontId="7" fillId="10" borderId="11" applyAlignment="1" pivotButton="0" quotePrefix="0" xfId="1">
      <alignment horizontal="center" vertical="center" wrapText="1"/>
    </xf>
    <xf numFmtId="0" fontId="8" fillId="11" borderId="11" applyAlignment="1" pivotButton="0" quotePrefix="0" xfId="0">
      <alignment horizontal="right" vertical="center"/>
    </xf>
    <xf numFmtId="4" fontId="1" fillId="12" borderId="11" applyAlignment="1" pivotButton="0" quotePrefix="0" xfId="1">
      <alignment horizontal="right" vertical="center"/>
    </xf>
    <xf numFmtId="4" fontId="0" fillId="12" borderId="11" applyAlignment="1" pivotButton="0" quotePrefix="0" xfId="1">
      <alignment horizontal="right" vertical="center"/>
    </xf>
    <xf numFmtId="164" fontId="0" fillId="12" borderId="11" applyAlignment="1" pivotButton="0" quotePrefix="0" xfId="1">
      <alignment horizontal="right" vertical="center"/>
    </xf>
    <xf numFmtId="4" fontId="1" fillId="13" borderId="11" applyAlignment="1" pivotButton="0" quotePrefix="0" xfId="1">
      <alignment horizontal="right" vertical="center"/>
    </xf>
    <xf numFmtId="165" fontId="0" fillId="13" borderId="11" applyAlignment="1" pivotButton="0" quotePrefix="0" xfId="1">
      <alignment horizontal="right" vertical="center"/>
    </xf>
    <xf numFmtId="4" fontId="0" fillId="13" borderId="11" applyAlignment="1" pivotButton="0" quotePrefix="0" xfId="1">
      <alignment horizontal="right" vertical="center"/>
    </xf>
    <xf numFmtId="164" fontId="0" fillId="13" borderId="11" applyAlignment="1" pivotButton="0" quotePrefix="0" xfId="1">
      <alignment horizontal="right" vertical="center"/>
    </xf>
    <xf numFmtId="4" fontId="1" fillId="14" borderId="11" applyAlignment="1" pivotButton="0" quotePrefix="0" xfId="1">
      <alignment horizontal="right" vertical="center"/>
    </xf>
    <xf numFmtId="4" fontId="0" fillId="14" borderId="11" applyAlignment="1" pivotButton="0" quotePrefix="0" xfId="1">
      <alignment horizontal="right" vertical="center"/>
    </xf>
    <xf numFmtId="164" fontId="0" fillId="14" borderId="11" applyAlignment="1" pivotButton="0" quotePrefix="0" xfId="1">
      <alignment horizontal="right" vertical="center"/>
    </xf>
    <xf numFmtId="4" fontId="1" fillId="15" borderId="11" applyAlignment="1" pivotButton="0" quotePrefix="0" xfId="1">
      <alignment horizontal="right" vertical="center"/>
    </xf>
    <xf numFmtId="4" fontId="0" fillId="15" borderId="11" applyAlignment="1" pivotButton="0" quotePrefix="0" xfId="1">
      <alignment horizontal="right" vertical="center"/>
    </xf>
    <xf numFmtId="164" fontId="0" fillId="15" borderId="11" applyAlignment="1" pivotButton="0" quotePrefix="0" xfId="1">
      <alignment horizontal="right" vertical="center"/>
    </xf>
    <xf numFmtId="4" fontId="1" fillId="16" borderId="11" applyAlignment="1" pivotButton="0" quotePrefix="0" xfId="1">
      <alignment horizontal="right" vertical="center"/>
    </xf>
    <xf numFmtId="4" fontId="0" fillId="16" borderId="11" applyAlignment="1" pivotButton="0" quotePrefix="0" xfId="1">
      <alignment horizontal="right" vertical="center"/>
    </xf>
    <xf numFmtId="164" fontId="0" fillId="16" borderId="11" applyAlignment="1" pivotButton="0" quotePrefix="0" xfId="1">
      <alignment horizontal="right" vertical="center"/>
    </xf>
    <xf numFmtId="4" fontId="1" fillId="17" borderId="11" applyAlignment="1" pivotButton="0" quotePrefix="0" xfId="1">
      <alignment horizontal="right" vertical="center"/>
    </xf>
    <xf numFmtId="4" fontId="0" fillId="17" borderId="11" applyAlignment="1" pivotButton="0" quotePrefix="0" xfId="1">
      <alignment horizontal="right" vertical="center"/>
    </xf>
    <xf numFmtId="0" fontId="13" fillId="22" borderId="0" applyAlignment="1" pivotButton="0" quotePrefix="0" xfId="0">
      <alignment horizontal="center" vertical="center"/>
    </xf>
    <xf numFmtId="0" fontId="14" fillId="22" borderId="0" applyAlignment="1" pivotButton="0" quotePrefix="0" xfId="0">
      <alignment horizontal="center" vertical="center"/>
    </xf>
    <xf numFmtId="0" fontId="0" fillId="22" borderId="0" pivotButton="0" quotePrefix="0" xfId="0"/>
    <xf numFmtId="0" fontId="15" fillId="22" borderId="0" applyAlignment="1" pivotButton="0" quotePrefix="0" xfId="0">
      <alignment horizontal="left" vertical="center"/>
    </xf>
    <xf numFmtId="0" fontId="16" fillId="22" borderId="11" applyAlignment="1" pivotButton="0" quotePrefix="0" xfId="0">
      <alignment horizontal="left" vertical="center"/>
    </xf>
    <xf numFmtId="0" fontId="16" fillId="11" borderId="11" applyAlignment="1" pivotButton="0" quotePrefix="0" xfId="0">
      <alignment horizontal="right" vertical="center"/>
    </xf>
    <xf numFmtId="0" fontId="16" fillId="11" borderId="11" applyAlignment="1" pivotButton="0" quotePrefix="0" xfId="0">
      <alignment horizontal="left" vertical="center"/>
    </xf>
    <xf numFmtId="0" fontId="15" fillId="18" borderId="0" applyAlignment="1" pivotButton="0" quotePrefix="0" xfId="0">
      <alignment horizontal="left" vertical="center"/>
    </xf>
  </cellXfs>
  <cellStyles count="2">
    <cellStyle name="Normal" xfId="0" builtinId="0"/>
    <cellStyle name="Currency" xfId="1" builtinId="4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Portfolio Value vs S&amp;P 500 (Monthly Track)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Summary'!I2</f>
            </strRef>
          </tx>
          <spPr>
            <a:solidFill xmlns:a="http://schemas.openxmlformats.org/drawingml/2006/main">
              <a:srgbClr val="1F4788"/>
            </a:solidFill>
            <a:ln xmlns:a="http://schemas.openxmlformats.org/drawingml/2006/main">
              <a:prstDash val="solid"/>
            </a:ln>
          </spPr>
          <cat>
            <numRef>
              <f>'Executive Summary'!$H$3:$H$14</f>
            </numRef>
          </cat>
          <val>
            <numRef>
              <f>'Executive Summary'!$I$3:$I$14</f>
            </numRef>
          </val>
        </ser>
        <ser>
          <idx val="1"/>
          <order val="1"/>
          <tx>
            <strRef>
              <f>'Executive Summary'!J2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prstDash val="solid"/>
            </a:ln>
          </spPr>
          <cat>
            <numRef>
              <f>'Executive Summary'!$H$3:$H$14</f>
            </numRef>
          </cat>
          <val>
            <numRef>
              <f>'Executive Summary'!$J$3:$J$14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 ($)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0" customHeight="1">
      <c r="A1" s="27" t="inlineStr">
        <is>
          <t>NET WORTH CONSOLIDATION - EXECUTIVE SUMMARY</t>
        </is>
      </c>
    </row>
    <row r="2" ht="18" customHeight="1">
      <c r="A2" s="28" t="inlineStr">
        <is>
          <t>Performance Report | As of February 15, 2026</t>
        </is>
      </c>
      <c r="H2" t="inlineStr">
        <is>
          <t>Month</t>
        </is>
      </c>
      <c r="I2" t="inlineStr">
        <is>
          <t>Your Portfolio</t>
        </is>
      </c>
      <c r="J2" t="inlineStr">
        <is>
          <t>S&amp;P 500</t>
        </is>
      </c>
    </row>
    <row r="3" ht="6" customHeight="1">
      <c r="H3" t="inlineStr">
        <is>
          <t>Mar 25</t>
        </is>
      </c>
      <c r="I3" t="n">
        <v>554754.9286932899</v>
      </c>
      <c r="J3" t="n">
        <v>-34655.27135165919</v>
      </c>
    </row>
    <row r="4" ht="22" customHeight="1">
      <c r="A4" s="29" t="inlineStr">
        <is>
          <t>💼 PORTFOLIO PERFORMANCE</t>
        </is>
      </c>
      <c r="H4" t="inlineStr">
        <is>
          <t>Apr 25</t>
        </is>
      </c>
      <c r="I4" t="n">
        <v>562205.3171438304</v>
      </c>
      <c r="J4" t="n">
        <v>-3125.789866504834</v>
      </c>
    </row>
    <row r="5" ht="24" customHeight="1">
      <c r="A5" s="65" t="inlineStr">
        <is>
          <t>Total Net Worth (Latest)</t>
        </is>
      </c>
      <c r="B5" s="31" t="inlineStr">
        <is>
          <t>$1,312,309.87</t>
        </is>
      </c>
      <c r="C5" s="32" t="n"/>
      <c r="D5" s="32" t="n"/>
      <c r="E5" s="32" t="n"/>
      <c r="F5" s="33" t="n"/>
      <c r="H5" t="inlineStr">
        <is>
          <t>May 25</t>
        </is>
      </c>
      <c r="I5" t="n">
        <v>601091.0218253548</v>
      </c>
      <c r="J5" t="n">
        <v>35332.12597155511</v>
      </c>
    </row>
    <row r="6" ht="24" customHeight="1">
      <c r="A6" s="65" t="inlineStr">
        <is>
          <t>Total Profit/Loss (YTD)</t>
        </is>
      </c>
      <c r="B6" s="34" t="inlineStr">
        <is>
          <t>$145,159.89</t>
        </is>
      </c>
      <c r="C6" s="32" t="n"/>
      <c r="D6" s="32" t="n"/>
      <c r="E6" s="32" t="n"/>
      <c r="F6" s="33" t="n"/>
      <c r="H6" t="inlineStr">
        <is>
          <t>Jun 25</t>
        </is>
      </c>
      <c r="I6" t="n">
        <v>628557.4543945304</v>
      </c>
      <c r="J6" t="n">
        <v>29027.99932986168</v>
      </c>
    </row>
    <row r="7" ht="24" customHeight="1">
      <c r="A7" s="65" t="inlineStr">
        <is>
          <t>Profit %</t>
        </is>
      </c>
      <c r="B7" s="31" t="inlineStr">
        <is>
          <t>26.17%</t>
        </is>
      </c>
      <c r="C7" s="32" t="n"/>
      <c r="D7" s="32" t="n"/>
      <c r="E7" s="32" t="n"/>
      <c r="F7" s="33" t="n"/>
      <c r="H7" t="inlineStr">
        <is>
          <t>Jul 25</t>
        </is>
      </c>
      <c r="I7" t="n">
        <v>652136.6935154304</v>
      </c>
      <c r="J7" t="n">
        <v>16269.59043355174</v>
      </c>
    </row>
    <row r="8" ht="24" customHeight="1">
      <c r="A8" s="65" t="inlineStr">
        <is>
          <t>Largest Monthly Gain</t>
        </is>
      </c>
      <c r="B8" s="34" t="inlineStr">
        <is>
          <t>$38,785.70</t>
        </is>
      </c>
      <c r="C8" s="32" t="n"/>
      <c r="D8" s="32" t="n"/>
      <c r="E8" s="32" t="n"/>
      <c r="F8" s="33" t="n"/>
      <c r="H8" t="inlineStr">
        <is>
          <t>Aug 25</t>
        </is>
      </c>
      <c r="I8" t="n">
        <v>661336.8341174951</v>
      </c>
      <c r="J8" t="n">
        <v>13382.78997811353</v>
      </c>
    </row>
    <row r="9" ht="24" customHeight="1">
      <c r="A9" s="65" t="inlineStr">
        <is>
          <t>Largest Monthly Loss</t>
        </is>
      </c>
      <c r="B9" s="35" t="inlineStr">
        <is>
          <t>$-37,226.69</t>
        </is>
      </c>
      <c r="C9" s="32" t="n"/>
      <c r="D9" s="32" t="n"/>
      <c r="E9" s="32" t="n"/>
      <c r="F9" s="33" t="n"/>
      <c r="H9" t="inlineStr">
        <is>
          <t>Sep 25</t>
        </is>
      </c>
      <c r="I9" t="n">
        <v>682737.1157878836</v>
      </c>
      <c r="J9" t="n">
        <v>21666.12505441923</v>
      </c>
    </row>
    <row r="10">
      <c r="H10" t="inlineStr">
        <is>
          <t>Oct 25</t>
        </is>
      </c>
      <c r="I10" t="n">
        <v>695031.8750224716</v>
      </c>
      <c r="J10" t="n">
        <v>18152.17842261858</v>
      </c>
    </row>
    <row r="11" ht="22" customHeight="1">
      <c r="A11" s="66" t="inlineStr">
        <is>
          <t>📊 VS. S&amp;P 500 BENCHMARK</t>
        </is>
      </c>
      <c r="H11" t="inlineStr">
        <is>
          <t>Nov 25</t>
        </is>
      </c>
      <c r="I11" t="n">
        <v>1295993.009552709</v>
      </c>
      <c r="J11" t="n">
        <v>1697.485681365851</v>
      </c>
    </row>
    <row r="12" ht="24" customHeight="1">
      <c r="A12" s="65" t="inlineStr">
        <is>
          <t>Your Portfolio Gain</t>
        </is>
      </c>
      <c r="B12" s="34" t="inlineStr">
        <is>
          <t>$757,554.94</t>
        </is>
      </c>
      <c r="C12" s="32" t="n"/>
      <c r="D12" s="32" t="n"/>
      <c r="E12" s="32" t="n"/>
      <c r="F12" s="33" t="n"/>
      <c r="H12" t="inlineStr">
        <is>
          <t>Dec 25</t>
        </is>
      </c>
      <c r="I12" t="n">
        <v>1271131.079888474</v>
      </c>
      <c r="J12" t="n">
        <v>-2832.22380962135</v>
      </c>
    </row>
    <row r="13" ht="24" customHeight="1">
      <c r="A13" s="65" t="inlineStr">
        <is>
          <t>S&amp;P 500 Gain (Est.)</t>
        </is>
      </c>
      <c r="B13" s="31" t="inlineStr">
        <is>
          <t>$15,502.73</t>
        </is>
      </c>
      <c r="C13" s="32" t="n"/>
      <c r="D13" s="32" t="n"/>
      <c r="E13" s="32" t="n"/>
      <c r="F13" s="33" t="n"/>
      <c r="H13" t="inlineStr">
        <is>
          <t>Jan 26</t>
        </is>
      </c>
      <c r="I13" t="n">
        <v>1296769.487462468</v>
      </c>
      <c r="J13" t="n">
        <v>22448.7206638563</v>
      </c>
    </row>
    <row r="14" ht="24" customHeight="1">
      <c r="A14" s="65" t="inlineStr">
        <is>
          <t>Outperformance</t>
        </is>
      </c>
      <c r="B14" s="34" t="inlineStr">
        <is>
          <t>$742,052.21</t>
        </is>
      </c>
      <c r="C14" s="32" t="n"/>
      <c r="D14" s="32" t="n"/>
      <c r="E14" s="32" t="n"/>
      <c r="F14" s="33" t="n"/>
      <c r="H14" t="inlineStr">
        <is>
          <t>Feb 26</t>
        </is>
      </c>
      <c r="I14" t="n">
        <v>1312309.868769997</v>
      </c>
      <c r="J14" t="n">
        <v>-19152.54152906402</v>
      </c>
    </row>
    <row r="15" ht="24" customHeight="1">
      <c r="A15" s="65" t="inlineStr">
        <is>
          <t>Your Portfolio %</t>
        </is>
      </c>
      <c r="B15" s="34" t="inlineStr">
        <is>
          <t>136.56%</t>
        </is>
      </c>
      <c r="C15" s="32" t="n"/>
      <c r="D15" s="32" t="n"/>
      <c r="E15" s="32" t="n"/>
      <c r="F15" s="33" t="n"/>
    </row>
    <row r="16" ht="24" customHeight="1">
      <c r="A16" s="65" t="inlineStr">
        <is>
          <t>S&amp;P 500 %</t>
        </is>
      </c>
      <c r="B16" s="31" t="inlineStr">
        <is>
          <t>-44.73%</t>
        </is>
      </c>
      <c r="C16" s="32" t="n"/>
      <c r="D16" s="32" t="n"/>
      <c r="E16" s="32" t="n"/>
      <c r="F16" s="33" t="n"/>
    </row>
  </sheetData>
  <mergeCells count="14">
    <mergeCell ref="A2:F2"/>
    <mergeCell ref="A11:F11"/>
    <mergeCell ref="B12:F12"/>
    <mergeCell ref="B7:F7"/>
    <mergeCell ref="B6:F6"/>
    <mergeCell ref="B16:F16"/>
    <mergeCell ref="B15:F15"/>
    <mergeCell ref="A1:F1"/>
    <mergeCell ref="B5:F5"/>
    <mergeCell ref="A4:F4"/>
    <mergeCell ref="B14:F14"/>
    <mergeCell ref="B8:F8"/>
    <mergeCell ref="B9:F9"/>
    <mergeCell ref="B13:F1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M4" sqref="M1:M1048576"/>
    </sheetView>
  </sheetViews>
  <sheetFormatPr baseColWidth="8" defaultRowHeight="15"/>
  <cols>
    <col width="30" customWidth="1" min="1" max="1"/>
    <col width="13" customWidth="1" style="36" min="2" max="9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style="36" min="10" max="10"/>
    <col width="13" customWidth="1" style="36" min="11" max="11"/>
    <col width="13" customWidth="1" style="36" min="12" max="12"/>
    <col width="13" customWidth="1" style="36" min="13" max="13"/>
  </cols>
  <sheetData>
    <row r="1" ht="25" customHeight="1">
      <c r="A1" s="37" t="inlineStr">
        <is>
          <t xml:space="preserve">         Portfolio report: 💰 My Net Worth</t>
        </is>
      </c>
      <c r="B1" s="8" t="n"/>
      <c r="C1" s="8" t="n"/>
      <c r="D1" s="9" t="n"/>
    </row>
    <row r="2" ht="8" customHeight="1">
      <c r="A2" s="10" t="n"/>
      <c r="B2" s="11" t="n"/>
      <c r="C2" s="11" t="n"/>
      <c r="D2" s="12" t="n"/>
    </row>
    <row r="3" ht="8" customHeight="1"/>
    <row r="4" ht="20" customHeight="1">
      <c r="A4" s="38" t="n"/>
      <c r="B4" s="39" t="inlineStr">
        <is>
          <t>Mar 25</t>
        </is>
      </c>
      <c r="C4" s="39" t="inlineStr">
        <is>
          <t>Apr 25</t>
        </is>
      </c>
      <c r="D4" s="39" t="inlineStr">
        <is>
          <t>May 25</t>
        </is>
      </c>
      <c r="E4" s="39" t="inlineStr">
        <is>
          <t>Jun 25</t>
        </is>
      </c>
      <c r="F4" s="39" t="inlineStr">
        <is>
          <t>Jul 25</t>
        </is>
      </c>
      <c r="G4" s="39" t="inlineStr">
        <is>
          <t>Aug 25</t>
        </is>
      </c>
      <c r="H4" s="39" t="inlineStr">
        <is>
          <t>Sep 25</t>
        </is>
      </c>
      <c r="I4" s="39" t="inlineStr">
        <is>
          <t>Oct 25</t>
        </is>
      </c>
      <c r="J4" s="39" t="inlineStr">
        <is>
          <t>Nov 25</t>
        </is>
      </c>
      <c r="K4" s="39" t="inlineStr">
        <is>
          <t>Dec 25</t>
        </is>
      </c>
      <c r="L4" s="39" t="inlineStr">
        <is>
          <t>Jan 26</t>
        </is>
      </c>
      <c r="M4" s="39" t="inlineStr">
        <is>
          <t>Feb 26</t>
        </is>
      </c>
    </row>
    <row r="5" ht="18" customFormat="1" customHeight="1" s="1">
      <c r="A5" s="64" t="inlineStr">
        <is>
          <t>Portfolio value</t>
        </is>
      </c>
      <c r="B5" s="41" t="n">
        <v>554754.9286932899</v>
      </c>
      <c r="C5" s="41" t="n">
        <v>562205.3171438304</v>
      </c>
      <c r="D5" s="41" t="n">
        <v>601091.0218253548</v>
      </c>
      <c r="E5" s="41" t="n">
        <v>628557.4543945304</v>
      </c>
      <c r="F5" s="41" t="n">
        <v>652136.6935154304</v>
      </c>
      <c r="G5" s="41" t="n">
        <v>661336.8341174951</v>
      </c>
      <c r="H5" s="41" t="n">
        <v>682737.1157878836</v>
      </c>
      <c r="I5" s="41" t="n">
        <v>695031.8750224716</v>
      </c>
      <c r="J5" s="41" t="n">
        <v>1295993.009552709</v>
      </c>
      <c r="K5" s="41" t="n">
        <v>1271131.079888474</v>
      </c>
      <c r="L5" s="41" t="n">
        <v>1296769.487462468</v>
      </c>
      <c r="M5" s="41" t="n">
        <v>1312309.868769997</v>
      </c>
    </row>
    <row r="6" ht="18" customHeight="1">
      <c r="A6" s="64" t="inlineStr">
        <is>
          <t>At the beginning of the period</t>
        </is>
      </c>
      <c r="B6" s="42" t="n">
        <v>591831.6154713357</v>
      </c>
      <c r="C6" s="42" t="n">
        <v>554754.9286932899</v>
      </c>
      <c r="D6" s="42" t="n">
        <v>562205.3171438304</v>
      </c>
      <c r="E6" s="42" t="n">
        <v>601091.0218253548</v>
      </c>
      <c r="F6" s="42" t="n">
        <v>628557.4543945304</v>
      </c>
      <c r="G6" s="42" t="n">
        <v>652136.6935154304</v>
      </c>
      <c r="H6" s="42" t="n">
        <v>661336.8341174951</v>
      </c>
      <c r="I6" s="42" t="n">
        <v>682737.1157878836</v>
      </c>
      <c r="J6" s="42" t="n">
        <v>695031.8750224716</v>
      </c>
      <c r="K6" s="42" t="n">
        <v>1295993.009552709</v>
      </c>
      <c r="L6" s="42" t="n">
        <v>1271131.079888474</v>
      </c>
      <c r="M6" s="42" t="n">
        <v>1296769.487462468</v>
      </c>
    </row>
    <row r="7" ht="18" customHeight="1">
      <c r="A7" s="64" t="inlineStr">
        <is>
          <t>At the end of the period</t>
        </is>
      </c>
      <c r="B7" s="42" t="n">
        <v>554754.9286932899</v>
      </c>
      <c r="C7" s="42" t="n">
        <v>562205.3171438304</v>
      </c>
      <c r="D7" s="42" t="n">
        <v>601091.0218253548</v>
      </c>
      <c r="E7" s="42" t="n">
        <v>628557.4543945304</v>
      </c>
      <c r="F7" s="42" t="n">
        <v>652136.6935154304</v>
      </c>
      <c r="G7" s="42" t="n">
        <v>661336.8341174951</v>
      </c>
      <c r="H7" s="42" t="n">
        <v>682737.1157878836</v>
      </c>
      <c r="I7" s="42" t="n">
        <v>695031.8750224716</v>
      </c>
      <c r="J7" s="42" t="n">
        <v>1295993.009552709</v>
      </c>
      <c r="K7" s="42" t="n">
        <v>1271131.079888474</v>
      </c>
      <c r="L7" s="42" t="n">
        <v>1296769.487462468</v>
      </c>
      <c r="M7" s="42" t="n">
        <v>1312309.868769997</v>
      </c>
    </row>
    <row r="8" ht="18" customHeight="1">
      <c r="A8" s="64" t="inlineStr">
        <is>
          <t>Change</t>
        </is>
      </c>
      <c r="B8" s="42" t="n">
        <v>-37076.68677804584</v>
      </c>
      <c r="C8" s="42" t="n">
        <v>7450.38845054048</v>
      </c>
      <c r="D8" s="42" t="n">
        <v>38885.7046815244</v>
      </c>
      <c r="E8" s="42" t="n">
        <v>27466.4325691756</v>
      </c>
      <c r="F8" s="42" t="n">
        <v>23579.2391209</v>
      </c>
      <c r="G8" s="42" t="n">
        <v>9200.140602064706</v>
      </c>
      <c r="H8" s="42" t="n">
        <v>21400.28167038859</v>
      </c>
      <c r="I8" s="42" t="n">
        <v>12294.75923458802</v>
      </c>
      <c r="J8" s="42" t="n">
        <v>600961.1345302372</v>
      </c>
      <c r="K8" s="42" t="n">
        <v>-24861.92966423521</v>
      </c>
      <c r="L8" s="42" t="n">
        <v>25638.40757399479</v>
      </c>
      <c r="M8" s="42" t="n">
        <v>15540.3813075284</v>
      </c>
    </row>
    <row r="9" ht="18" customHeight="1">
      <c r="A9" s="64" t="n"/>
      <c r="B9" s="43" t="n"/>
      <c r="C9" s="43" t="n"/>
      <c r="D9" s="43" t="n"/>
      <c r="E9" s="43" t="n"/>
      <c r="F9" s="43" t="n"/>
      <c r="G9" s="43" t="n"/>
      <c r="H9" s="43" t="n"/>
      <c r="I9" s="43" t="n"/>
      <c r="J9" s="43" t="n"/>
      <c r="K9" s="43" t="n"/>
      <c r="L9" s="43" t="n"/>
      <c r="M9" s="43" t="n"/>
    </row>
    <row r="10" ht="18" customFormat="1" customHeight="1" s="1">
      <c r="A10" s="64" t="inlineStr">
        <is>
          <t>Total profit</t>
        </is>
      </c>
      <c r="B10" s="44" t="n">
        <v>-37226.68677804584</v>
      </c>
      <c r="C10" s="44" t="n">
        <v>7350.38845054048</v>
      </c>
      <c r="D10" s="44" t="n">
        <v>38785.7046815244</v>
      </c>
      <c r="E10" s="44" t="n">
        <v>27366.4325691756</v>
      </c>
      <c r="F10" s="44" t="n">
        <v>23479.2391209</v>
      </c>
      <c r="G10" s="44" t="n">
        <v>9100.140602064706</v>
      </c>
      <c r="H10" s="44" t="n">
        <v>21254.7016703886</v>
      </c>
      <c r="I10" s="44" t="n">
        <v>12223.76923458802</v>
      </c>
      <c r="J10" s="44" t="n">
        <v>3752.334460237172</v>
      </c>
      <c r="K10" s="44" t="n">
        <v>-2104.91966423521</v>
      </c>
      <c r="L10" s="44" t="n">
        <v>25638.40757399479</v>
      </c>
      <c r="M10" s="44" t="n">
        <v>15540.3813075284</v>
      </c>
    </row>
    <row r="11" ht="18" customHeight="1">
      <c r="A11" s="64" t="inlineStr">
        <is>
          <t>Total profit, %</t>
        </is>
      </c>
      <c r="B11" s="45" t="n">
        <v>-6.29</v>
      </c>
      <c r="C11" s="45" t="n">
        <v>1.32</v>
      </c>
      <c r="D11" s="45" t="n">
        <v>6.9</v>
      </c>
      <c r="E11" s="45" t="n">
        <v>4.55</v>
      </c>
      <c r="F11" s="45" t="n">
        <v>3.73</v>
      </c>
      <c r="G11" s="45" t="n">
        <v>1.4</v>
      </c>
      <c r="H11" s="45" t="n">
        <v>3.21</v>
      </c>
      <c r="I11" s="45" t="n">
        <v>1.79</v>
      </c>
      <c r="J11" s="45" t="n">
        <v>0.29</v>
      </c>
      <c r="K11" s="45" t="n">
        <v>-0.17</v>
      </c>
      <c r="L11" s="45" t="n">
        <v>2.02</v>
      </c>
      <c r="M11" s="45" t="n">
        <v>1.2</v>
      </c>
    </row>
    <row r="12" ht="18" customHeight="1">
      <c r="A12" s="64" t="inlineStr">
        <is>
          <t>Net profit from sales</t>
        </is>
      </c>
      <c r="B12" s="46" t="n">
        <v>5553.165</v>
      </c>
      <c r="C12" s="46" t="n">
        <v>1723.24</v>
      </c>
      <c r="D12" s="46" t="n">
        <v>449.74</v>
      </c>
      <c r="E12" s="46" t="n">
        <v>-3086.6069728</v>
      </c>
      <c r="F12" s="46" t="n">
        <v>-1381.3364514</v>
      </c>
      <c r="G12" s="46" t="n">
        <v>8305.104026200001</v>
      </c>
      <c r="H12" s="46" t="n">
        <v>12579.83948</v>
      </c>
      <c r="I12" s="46" t="n">
        <v>5346.32629456016</v>
      </c>
      <c r="J12" s="46" t="n">
        <v>5675.72841725677</v>
      </c>
      <c r="K12" s="46" t="n">
        <v>2243.5725</v>
      </c>
      <c r="L12" s="46" t="n">
        <v>3359.99223564234</v>
      </c>
      <c r="M12" s="46" t="n">
        <v>4480.63932425</v>
      </c>
    </row>
    <row r="13" ht="18" customHeight="1">
      <c r="A13" s="64" t="inlineStr">
        <is>
          <t>Profit from price change</t>
        </is>
      </c>
      <c r="B13" s="42" t="n">
        <v>-36373.55177804584</v>
      </c>
      <c r="C13" s="42" t="n">
        <v>7273.95845054048</v>
      </c>
      <c r="D13" s="42" t="n">
        <v>41684.9946815244</v>
      </c>
      <c r="E13" s="42" t="n">
        <v>19267.0674475</v>
      </c>
      <c r="F13" s="42" t="n">
        <v>17105.4251209</v>
      </c>
      <c r="G13" s="42" t="n">
        <v>2516.702102064706</v>
      </c>
      <c r="H13" s="42" t="n">
        <v>11118.5429303886</v>
      </c>
      <c r="I13" s="42" t="n">
        <v>13723.93975898802</v>
      </c>
      <c r="J13" s="42" t="n">
        <v>5579.085247613042</v>
      </c>
      <c r="K13" s="42" t="n">
        <v>-8293.70966423521</v>
      </c>
      <c r="L13" s="42" t="n">
        <v>23608.19711939479</v>
      </c>
      <c r="M13" s="42" t="n">
        <v>13487.8226375284</v>
      </c>
    </row>
    <row r="14" ht="18" customHeight="1">
      <c r="A14" s="64" t="inlineStr">
        <is>
          <t>Profit from sales</t>
        </is>
      </c>
      <c r="B14" s="46" t="n">
        <v>4781.065</v>
      </c>
      <c r="C14" s="46" t="n">
        <v>1723.46</v>
      </c>
      <c r="D14" s="46" t="n">
        <v>845</v>
      </c>
      <c r="E14" s="46" t="n">
        <v>7793.4751216756</v>
      </c>
      <c r="F14" s="46" t="n">
        <v>7680.384</v>
      </c>
      <c r="G14" s="46" t="n">
        <v>1438.2885</v>
      </c>
      <c r="H14" s="46" t="n">
        <v>8985.01874</v>
      </c>
      <c r="I14" s="46" t="n">
        <v>751.2794756</v>
      </c>
      <c r="J14" s="46" t="n">
        <v>-2838.12078737587</v>
      </c>
      <c r="K14" s="46" t="n">
        <v>-322.33</v>
      </c>
      <c r="L14" s="46" t="n">
        <v>1583.2004546</v>
      </c>
      <c r="M14" s="46" t="n">
        <v>1002.23867</v>
      </c>
    </row>
    <row r="15" ht="18" customHeight="1">
      <c r="A15" s="64" t="inlineStr">
        <is>
          <t>Dividends</t>
        </is>
      </c>
      <c r="B15" s="46" t="n">
        <v>270.95</v>
      </c>
      <c r="C15" s="46" t="n">
        <v>219.99</v>
      </c>
      <c r="D15" s="46" t="n">
        <v>197.26</v>
      </c>
      <c r="E15" s="46" t="n">
        <v>305.89</v>
      </c>
      <c r="F15" s="46" t="n">
        <v>365.43</v>
      </c>
      <c r="G15" s="46" t="n">
        <v>5162.43</v>
      </c>
      <c r="H15" s="46" t="n">
        <v>1151.39</v>
      </c>
      <c r="I15" s="46" t="n">
        <v>648.65</v>
      </c>
      <c r="J15" s="46" t="n">
        <v>1011.37</v>
      </c>
      <c r="K15" s="46" t="n">
        <v>6511.12</v>
      </c>
      <c r="L15" s="46" t="n">
        <v>447.01</v>
      </c>
      <c r="M15" s="46" t="n">
        <v>1050.32</v>
      </c>
    </row>
    <row r="16" ht="18" customHeight="1">
      <c r="A16" s="64" t="inlineStr">
        <is>
          <t>Taxes</t>
        </is>
      </c>
      <c r="B16" s="47" t="inlineStr">
        <is>
          <t>-</t>
        </is>
      </c>
      <c r="C16" s="46" t="n">
        <v>-37.02</v>
      </c>
      <c r="D16" s="47" t="inlineStr">
        <is>
          <t>-</t>
        </is>
      </c>
      <c r="E16" s="47" t="inlineStr">
        <is>
          <t>-</t>
        </is>
      </c>
      <c r="F16" s="47" t="inlineStr">
        <is>
          <t>-</t>
        </is>
      </c>
      <c r="G16" s="46" t="n">
        <v>-15.78</v>
      </c>
      <c r="H16" s="47" t="inlineStr">
        <is>
          <t>-</t>
        </is>
      </c>
      <c r="I16" s="47" t="inlineStr">
        <is>
          <t>-</t>
        </is>
      </c>
      <c r="J16" s="47" t="inlineStr">
        <is>
          <t>-</t>
        </is>
      </c>
      <c r="K16" s="47" t="inlineStr">
        <is>
          <t>-</t>
        </is>
      </c>
      <c r="L16" s="47" t="inlineStr">
        <is>
          <t>-</t>
        </is>
      </c>
      <c r="M16" s="47" t="inlineStr">
        <is>
          <t>-</t>
        </is>
      </c>
    </row>
    <row r="17" ht="18" customHeight="1">
      <c r="A17" s="64" t="inlineStr">
        <is>
          <t>Commissions</t>
        </is>
      </c>
      <c r="B17" s="46" t="n">
        <v>-0.79</v>
      </c>
      <c r="C17" s="46" t="n">
        <v>-1.91</v>
      </c>
      <c r="D17" s="46" t="n">
        <v>-0.15</v>
      </c>
      <c r="E17" s="47" t="inlineStr">
        <is>
          <t>-</t>
        </is>
      </c>
      <c r="F17" s="47" t="inlineStr">
        <is>
          <t>-</t>
        </is>
      </c>
      <c r="G17" s="46" t="n">
        <v>-1.5</v>
      </c>
      <c r="H17" s="46" t="n">
        <v>-0.25</v>
      </c>
      <c r="I17" s="46" t="n">
        <v>-0.1</v>
      </c>
      <c r="J17" s="47" t="inlineStr">
        <is>
          <t>-</t>
        </is>
      </c>
      <c r="K17" s="47" t="inlineStr">
        <is>
          <t>-</t>
        </is>
      </c>
      <c r="L17" s="47" t="inlineStr">
        <is>
          <t>-</t>
        </is>
      </c>
      <c r="M17" s="47" t="inlineStr">
        <is>
          <t>-</t>
        </is>
      </c>
    </row>
    <row r="18" ht="18" customHeight="1">
      <c r="A18" s="64" t="inlineStr">
        <is>
          <t>Other</t>
        </is>
      </c>
      <c r="B18" s="46" t="n">
        <v>-5904.36</v>
      </c>
      <c r="C18" s="46" t="n">
        <v>-1828.09</v>
      </c>
      <c r="D18" s="46" t="n">
        <v>-3941.4</v>
      </c>
      <c r="E18" s="47" t="inlineStr">
        <is>
          <t>-</t>
        </is>
      </c>
      <c r="F18" s="46" t="n">
        <v>-1672</v>
      </c>
      <c r="G18" s="47" t="inlineStr">
        <is>
          <t>-</t>
        </is>
      </c>
      <c r="H18" s="47" t="inlineStr">
        <is>
          <t>-</t>
        </is>
      </c>
      <c r="I18" s="46" t="n">
        <v>-2900</v>
      </c>
      <c r="J18" s="47" t="inlineStr">
        <is>
          <t>-</t>
        </is>
      </c>
      <c r="K18" s="47" t="inlineStr">
        <is>
          <t>-</t>
        </is>
      </c>
      <c r="L18" s="47" t="inlineStr">
        <is>
          <t>-</t>
        </is>
      </c>
      <c r="M18" s="47" t="inlineStr">
        <is>
          <t>-</t>
        </is>
      </c>
    </row>
    <row r="19" ht="18" customHeight="1">
      <c r="A19" s="64" t="n"/>
      <c r="B19" s="47" t="n"/>
      <c r="C19" s="47" t="n"/>
      <c r="D19" s="47" t="n"/>
      <c r="E19" s="47" t="n"/>
      <c r="F19" s="47" t="n"/>
      <c r="G19" s="47" t="n"/>
      <c r="H19" s="47" t="n"/>
      <c r="I19" s="47" t="n"/>
      <c r="J19" s="47" t="n"/>
      <c r="K19" s="47" t="n"/>
      <c r="L19" s="47" t="n"/>
      <c r="M19" s="47" t="n"/>
    </row>
    <row r="20" ht="18" customFormat="1" customHeight="1" s="1">
      <c r="A20" s="64" t="inlineStr">
        <is>
          <t>Turnover</t>
        </is>
      </c>
      <c r="B20" s="48" t="n">
        <v>99260.77499999999</v>
      </c>
      <c r="C20" s="48" t="n">
        <v>10867.98</v>
      </c>
      <c r="D20" s="48" t="n">
        <v>10597.11</v>
      </c>
      <c r="E20" s="48" t="n">
        <v>183447.04947</v>
      </c>
      <c r="F20" s="48" t="n">
        <v>441672.51951</v>
      </c>
      <c r="G20" s="48" t="n">
        <v>1230642.00518</v>
      </c>
      <c r="H20" s="48" t="n">
        <v>580854.2707171</v>
      </c>
      <c r="I20" s="48" t="n">
        <v>562825.9131011</v>
      </c>
      <c r="J20" s="48" t="n">
        <v>3030321.291775533</v>
      </c>
      <c r="K20" s="48" t="n">
        <v>84998.14793760001</v>
      </c>
      <c r="L20" s="48" t="n">
        <v>1272796.8218854</v>
      </c>
      <c r="M20" s="48" t="n">
        <v>416612.8921195</v>
      </c>
    </row>
    <row r="21" ht="18" customHeight="1">
      <c r="A21" s="64" t="inlineStr">
        <is>
          <t>Total purchases</t>
        </is>
      </c>
      <c r="B21" s="49" t="n">
        <v>49840.47</v>
      </c>
      <c r="C21" s="49" t="n">
        <v>5574.52</v>
      </c>
      <c r="D21" s="49" t="n">
        <v>5447.11</v>
      </c>
      <c r="E21" s="49" t="n">
        <v>88606.47</v>
      </c>
      <c r="F21" s="49" t="n">
        <v>243571.34551</v>
      </c>
      <c r="G21" s="49" t="n">
        <v>599545.69518</v>
      </c>
      <c r="H21" s="49" t="n">
        <v>291879.4367171</v>
      </c>
      <c r="I21" s="49" t="n">
        <v>279798.6285061</v>
      </c>
      <c r="J21" s="49" t="n">
        <v>1817887.834440534</v>
      </c>
      <c r="K21" s="49" t="n">
        <v>29676.4479376</v>
      </c>
      <c r="L21" s="49" t="n">
        <v>631778.4608254</v>
      </c>
      <c r="M21" s="49" t="n">
        <v>209298.7921995</v>
      </c>
    </row>
    <row r="22" ht="18" customHeight="1">
      <c r="A22" s="64" t="inlineStr">
        <is>
          <t>Total sales</t>
        </is>
      </c>
      <c r="B22" s="49" t="n">
        <v>49420.305</v>
      </c>
      <c r="C22" s="49" t="n">
        <v>5293.46</v>
      </c>
      <c r="D22" s="49" t="n">
        <v>5150</v>
      </c>
      <c r="E22" s="49" t="n">
        <v>94840.57947</v>
      </c>
      <c r="F22" s="49" t="n">
        <v>198101.174</v>
      </c>
      <c r="G22" s="49" t="n">
        <v>631096.3100000001</v>
      </c>
      <c r="H22" s="49" t="n">
        <v>288974.834</v>
      </c>
      <c r="I22" s="49" t="n">
        <v>283027.284595</v>
      </c>
      <c r="J22" s="49" t="n">
        <v>1212433.457335</v>
      </c>
      <c r="K22" s="49" t="n">
        <v>55321.7</v>
      </c>
      <c r="L22" s="49" t="n">
        <v>641018.36106</v>
      </c>
      <c r="M22" s="49" t="n">
        <v>207314.09992</v>
      </c>
    </row>
    <row r="23" ht="18" customHeight="1">
      <c r="A23" s="64" t="n"/>
      <c r="B23" s="50" t="n"/>
      <c r="C23" s="50" t="n"/>
      <c r="D23" s="50" t="n"/>
      <c r="E23" s="50" t="n"/>
      <c r="F23" s="50" t="n"/>
      <c r="G23" s="50" t="n"/>
      <c r="H23" s="50" t="n"/>
      <c r="I23" s="50" t="n"/>
      <c r="J23" s="50" t="n"/>
      <c r="K23" s="50" t="n"/>
      <c r="L23" s="50" t="n"/>
      <c r="M23" s="50" t="n"/>
    </row>
    <row r="24" ht="18" customFormat="1" customHeight="1" s="1">
      <c r="A24" s="64" t="inlineStr">
        <is>
          <t>Total trades</t>
        </is>
      </c>
      <c r="B24" s="51" t="n">
        <v>41</v>
      </c>
      <c r="C24" s="51" t="n">
        <v>17</v>
      </c>
      <c r="D24" s="51" t="n">
        <v>12</v>
      </c>
      <c r="E24" s="51" t="n">
        <v>45</v>
      </c>
      <c r="F24" s="51" t="n">
        <v>142</v>
      </c>
      <c r="G24" s="51" t="n">
        <v>131</v>
      </c>
      <c r="H24" s="51" t="n">
        <v>181</v>
      </c>
      <c r="I24" s="51" t="n">
        <v>130</v>
      </c>
      <c r="J24" s="51" t="n">
        <v>205</v>
      </c>
      <c r="K24" s="51" t="n">
        <v>79</v>
      </c>
      <c r="L24" s="51" t="n">
        <v>56</v>
      </c>
      <c r="M24" s="51" t="n">
        <v>47</v>
      </c>
    </row>
    <row r="25" ht="18" customHeight="1">
      <c r="A25" s="64" t="inlineStr">
        <is>
          <t>Buy trades</t>
        </is>
      </c>
      <c r="B25" s="52" t="n">
        <v>27</v>
      </c>
      <c r="C25" s="52" t="n">
        <v>13</v>
      </c>
      <c r="D25" s="52" t="n">
        <v>11</v>
      </c>
      <c r="E25" s="52" t="n">
        <v>23</v>
      </c>
      <c r="F25" s="52" t="n">
        <v>89</v>
      </c>
      <c r="G25" s="52" t="n">
        <v>83</v>
      </c>
      <c r="H25" s="52" t="n">
        <v>118</v>
      </c>
      <c r="I25" s="52" t="n">
        <v>77</v>
      </c>
      <c r="J25" s="52" t="n">
        <v>117</v>
      </c>
      <c r="K25" s="52" t="n">
        <v>69</v>
      </c>
      <c r="L25" s="52" t="n">
        <v>33</v>
      </c>
      <c r="M25" s="52" t="n">
        <v>31</v>
      </c>
    </row>
    <row r="26" ht="18" customHeight="1">
      <c r="A26" s="64" t="inlineStr">
        <is>
          <t>Sell trades</t>
        </is>
      </c>
      <c r="B26" s="52" t="n">
        <v>14</v>
      </c>
      <c r="C26" s="52" t="n">
        <v>4</v>
      </c>
      <c r="D26" s="52" t="n">
        <v>1</v>
      </c>
      <c r="E26" s="52" t="n">
        <v>22</v>
      </c>
      <c r="F26" s="52" t="n">
        <v>53</v>
      </c>
      <c r="G26" s="52" t="n">
        <v>48</v>
      </c>
      <c r="H26" s="52" t="n">
        <v>63</v>
      </c>
      <c r="I26" s="52" t="n">
        <v>53</v>
      </c>
      <c r="J26" s="52" t="n">
        <v>88</v>
      </c>
      <c r="K26" s="52" t="n">
        <v>10</v>
      </c>
      <c r="L26" s="52" t="n">
        <v>23</v>
      </c>
      <c r="M26" s="52" t="n">
        <v>16</v>
      </c>
    </row>
    <row r="27" ht="18" customHeight="1">
      <c r="A27" s="64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</row>
    <row r="28" ht="18" customFormat="1" customHeight="1" s="1">
      <c r="A28" s="64" t="inlineStr">
        <is>
          <t>Cash funds</t>
        </is>
      </c>
      <c r="B28" s="54" t="n">
        <v>-6555.66335376961</v>
      </c>
      <c r="C28" s="54" t="n">
        <v>-6555.66335376961</v>
      </c>
      <c r="D28" s="54" t="n">
        <v>-6555.66335376961</v>
      </c>
      <c r="E28" s="54" t="n">
        <v>84.33611623039</v>
      </c>
      <c r="F28" s="54" t="n">
        <v>-44920.40539376961</v>
      </c>
      <c r="G28" s="54" t="n">
        <v>-8124.64057376961</v>
      </c>
      <c r="H28" s="54" t="n">
        <v>-9732.523290869611</v>
      </c>
      <c r="I28" s="54" t="n">
        <v>-5784.32720196961</v>
      </c>
      <c r="J28" s="54" t="n">
        <v>-13018.53423750314</v>
      </c>
      <c r="K28" s="54" t="n">
        <v>-3619.17217510314</v>
      </c>
      <c r="L28" s="54" t="n">
        <v>6067.73805949686</v>
      </c>
      <c r="M28" s="54" t="n">
        <v>5133.36577999686</v>
      </c>
    </row>
    <row r="29" ht="18" customHeight="1">
      <c r="A29" s="64" t="inlineStr">
        <is>
          <t>Deposited</t>
        </is>
      </c>
      <c r="B29" s="55" t="n">
        <v>150</v>
      </c>
      <c r="C29" s="55" t="n">
        <v>100</v>
      </c>
      <c r="D29" s="55" t="n">
        <v>100</v>
      </c>
      <c r="E29" s="55" t="n">
        <v>100</v>
      </c>
      <c r="F29" s="55" t="n">
        <v>100</v>
      </c>
      <c r="G29" s="55" t="n">
        <v>100</v>
      </c>
      <c r="H29" s="55" t="n">
        <v>150</v>
      </c>
      <c r="I29" s="55" t="n">
        <v>100</v>
      </c>
      <c r="J29" s="55" t="n">
        <v>597208.80007</v>
      </c>
      <c r="K29" s="55" t="n">
        <v>53.56</v>
      </c>
      <c r="L29" s="56" t="inlineStr">
        <is>
          <t>-</t>
        </is>
      </c>
      <c r="M29" s="56" t="inlineStr">
        <is>
          <t>-</t>
        </is>
      </c>
    </row>
    <row r="30" ht="18" customHeight="1">
      <c r="A30" s="64" t="inlineStr">
        <is>
          <t>Withdrawn</t>
        </is>
      </c>
      <c r="B30" s="56" t="inlineStr">
        <is>
          <t>-</t>
        </is>
      </c>
      <c r="C30" s="56" t="inlineStr">
        <is>
          <t>-</t>
        </is>
      </c>
      <c r="D30" s="56" t="inlineStr">
        <is>
          <t>-</t>
        </is>
      </c>
      <c r="E30" s="56" t="inlineStr">
        <is>
          <t>-</t>
        </is>
      </c>
      <c r="F30" s="56" t="inlineStr">
        <is>
          <t>-</t>
        </is>
      </c>
      <c r="G30" s="56" t="inlineStr">
        <is>
          <t>-</t>
        </is>
      </c>
      <c r="H30" s="55" t="n">
        <v>4.42</v>
      </c>
      <c r="I30" s="55" t="n">
        <v>29.01</v>
      </c>
      <c r="J30" s="56" t="inlineStr">
        <is>
          <t>-</t>
        </is>
      </c>
      <c r="K30" s="55" t="n">
        <v>22810.57</v>
      </c>
      <c r="L30" s="56" t="inlineStr">
        <is>
          <t>-</t>
        </is>
      </c>
      <c r="M30" s="56" t="inlineStr">
        <is>
          <t>-</t>
        </is>
      </c>
    </row>
    <row r="31" ht="18" customHeight="1">
      <c r="A31" s="64" t="inlineStr">
        <is>
          <t>Available funds</t>
        </is>
      </c>
      <c r="B31" s="55" t="n">
        <v>-6555.66335376961</v>
      </c>
      <c r="C31" s="55" t="n">
        <v>-6555.66335376961</v>
      </c>
      <c r="D31" s="55" t="n">
        <v>-6555.66335376961</v>
      </c>
      <c r="E31" s="55" t="n">
        <v>84.33611623039</v>
      </c>
      <c r="F31" s="55" t="n">
        <v>-44920.40539376961</v>
      </c>
      <c r="G31" s="55" t="n">
        <v>-8124.64057376961</v>
      </c>
      <c r="H31" s="55" t="n">
        <v>-9732.523290869611</v>
      </c>
      <c r="I31" s="55" t="n">
        <v>-5784.32720196961</v>
      </c>
      <c r="J31" s="55" t="n">
        <v>-13018.53423750314</v>
      </c>
      <c r="K31" s="55" t="n">
        <v>-3619.17217510314</v>
      </c>
      <c r="L31" s="55" t="n">
        <v>6067.73805949686</v>
      </c>
      <c r="M31" s="55" t="n">
        <v>5133.36577999686</v>
      </c>
    </row>
    <row r="32" ht="18" customHeight="1">
      <c r="A32" s="64" t="n"/>
      <c r="B32" s="56" t="n"/>
      <c r="C32" s="56" t="n"/>
      <c r="D32" s="56" t="n"/>
      <c r="E32" s="56" t="n"/>
      <c r="F32" s="56" t="n"/>
      <c r="G32" s="56" t="n"/>
      <c r="H32" s="56" t="n"/>
      <c r="I32" s="56" t="n"/>
      <c r="J32" s="56" t="n"/>
      <c r="K32" s="56" t="n"/>
      <c r="L32" s="56" t="n"/>
      <c r="M32" s="56" t="n"/>
    </row>
    <row r="33" ht="18" customHeight="1">
      <c r="A33" s="64" t="n"/>
      <c r="B33" s="56" t="n"/>
      <c r="C33" s="56" t="n"/>
      <c r="D33" s="56" t="n"/>
      <c r="E33" s="56" t="n"/>
      <c r="F33" s="56" t="n"/>
      <c r="G33" s="56" t="n"/>
      <c r="H33" s="56" t="n"/>
      <c r="I33" s="56" t="n"/>
      <c r="J33" s="56" t="n"/>
      <c r="K33" s="56" t="n"/>
      <c r="L33" s="56" t="n"/>
      <c r="M33" s="56" t="n"/>
    </row>
    <row r="34" ht="18" customFormat="1" customHeight="1" s="1">
      <c r="A34" s="64" t="inlineStr">
        <is>
          <t>S&amp;P 500 Market Performance</t>
        </is>
      </c>
      <c r="B34" s="57" t="n">
        <v>-34655.27135165919</v>
      </c>
      <c r="C34" s="57" t="n">
        <v>-3125.789866504834</v>
      </c>
      <c r="D34" s="57" t="n">
        <v>35332.12597155511</v>
      </c>
      <c r="E34" s="57" t="n">
        <v>29027.99932986168</v>
      </c>
      <c r="F34" s="57" t="n">
        <v>16269.59043355174</v>
      </c>
      <c r="G34" s="57" t="n">
        <v>13382.78997811353</v>
      </c>
      <c r="H34" s="57" t="n">
        <v>21666.12505441923</v>
      </c>
      <c r="I34" s="57" t="n">
        <v>18152.17842261858</v>
      </c>
      <c r="J34" s="57" t="n">
        <v>1697.485681365851</v>
      </c>
      <c r="K34" s="57" t="n">
        <v>-2832.22380962135</v>
      </c>
      <c r="L34" s="57" t="n">
        <v>22448.7206638563</v>
      </c>
      <c r="M34" s="57" t="n">
        <v>-19152.54152906402</v>
      </c>
    </row>
    <row r="35" ht="18" customHeight="1">
      <c r="A35" s="64" t="inlineStr">
        <is>
          <t>S&amp;P 500 Market Performance, %</t>
        </is>
      </c>
      <c r="B35" s="58" t="n">
        <v>-5.85</v>
      </c>
      <c r="C35" s="58" t="n">
        <v>-0.5600000000000001</v>
      </c>
      <c r="D35" s="58" t="n">
        <v>6.28</v>
      </c>
      <c r="E35" s="58" t="n">
        <v>4.83</v>
      </c>
      <c r="F35" s="58" t="n">
        <v>2.58</v>
      </c>
      <c r="G35" s="58" t="n">
        <v>2.05</v>
      </c>
      <c r="H35" s="58" t="n">
        <v>3.28</v>
      </c>
      <c r="I35" s="58" t="n">
        <v>2.65</v>
      </c>
      <c r="J35" s="58" t="n">
        <v>0.13</v>
      </c>
      <c r="K35" s="58" t="n">
        <v>-0.22</v>
      </c>
      <c r="L35" s="58" t="n">
        <v>1.76</v>
      </c>
      <c r="M35" s="58" t="n">
        <v>-1.48</v>
      </c>
    </row>
  </sheetData>
  <mergeCells count="1">
    <mergeCell ref="A1:D2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2026-02-15T12:30:22Z</dcterms:created>
  <dcterms:modified xmlns:dcterms="http://purl.org/dc/terms/" xmlns:xsi="http://www.w3.org/2001/XMLSchema-instance" xsi:type="dcterms:W3CDTF">2026-02-15T14:38:47Z</dcterms:modified>
  <cp:lastModifiedBy>Aladdin Zahran</cp:lastModifiedBy>
</cp:coreProperties>
</file>