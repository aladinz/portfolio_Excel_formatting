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howVal val="1"/>
          </dLbls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169455.9607157994</v>
                </pt>
                <pt idx="1">
                  <v>170438.3739109994</v>
                </pt>
                <pt idx="2">
                  <v>190535.1006541994</v>
                </pt>
                <pt idx="3">
                  <v>201561.6079316994</v>
                </pt>
                <pt idx="4">
                  <v>211634.6380325994</v>
                </pt>
                <pt idx="5">
                  <v>211937.4543028994</v>
                </pt>
                <pt idx="6">
                  <v>221474.7864826998</v>
                </pt>
                <pt idx="7">
                  <v>227239.3782809466</v>
                </pt>
                <pt idx="8">
                  <v>227645.6965541114</v>
                </pt>
                <pt idx="9">
                  <v>225614.0178439762</v>
                </pt>
                <pt idx="10">
                  <v>230339.242427971</v>
                </pt>
                <pt idx="11">
                  <v>231826.8059299994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dLbls>
            <showVal val="1"/>
          </dLbls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-15552.9054337</v>
                </pt>
                <pt idx="1">
                  <v>982.4131952</v>
                </pt>
                <pt idx="2">
                  <v>20096.7267432</v>
                </pt>
                <pt idx="3">
                  <v>11026.5072775</v>
                </pt>
                <pt idx="4">
                  <v>10073.0301009</v>
                </pt>
                <pt idx="5">
                  <v>302.8162703</v>
                </pt>
                <pt idx="6">
                  <v>9537.33217980036</v>
                </pt>
                <pt idx="7">
                  <v>5764.59179824684</v>
                </pt>
                <pt idx="8">
                  <v>406.31827316482</v>
                </pt>
                <pt idx="9">
                  <v>-2031.67871013521</v>
                </pt>
                <pt idx="10">
                  <v>4725.22458399479</v>
                </pt>
                <pt idx="11">
                  <v>1487.5635020284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086475" cy="395287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257174</rowOff>
    </from>
    <ext cx="6115050" cy="44862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8" sqref="Q28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Rollover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169455.9607157994</v>
      </c>
      <c r="J4" t="inlineStr">
        <is>
          <t>Mar 25</t>
        </is>
      </c>
      <c r="K4" t="n">
        <v>-15552.9054337</v>
      </c>
      <c r="L4" t="n">
        <v>0</v>
      </c>
      <c r="M4" t="n">
        <v>-15552.9054337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170438.3739109994</v>
      </c>
      <c r="J5" t="inlineStr">
        <is>
          <t>Apr 25</t>
        </is>
      </c>
      <c r="K5" t="n">
        <v>982.4131952</v>
      </c>
      <c r="L5" t="n">
        <v>982.4131952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$46,817.94</t>
        </is>
      </c>
      <c r="C6" s="32" t="inlineStr">
        <is>
          <t>25.31% increase</t>
        </is>
      </c>
      <c r="G6" t="inlineStr">
        <is>
          <t>May 25</t>
        </is>
      </c>
      <c r="H6" t="n">
        <v>190535.1006541994</v>
      </c>
      <c r="J6" t="inlineStr">
        <is>
          <t>May 25</t>
        </is>
      </c>
      <c r="K6" t="n">
        <v>20096.7267432</v>
      </c>
      <c r="L6" t="n">
        <v>20096.7267432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$185,008.87</t>
        </is>
      </c>
      <c r="C7" s="32" t="inlineStr">
        <is>
          <t>Mar 25</t>
        </is>
      </c>
      <c r="G7" t="inlineStr">
        <is>
          <t>Jun 25</t>
        </is>
      </c>
      <c r="H7" t="n">
        <v>201561.6079316994</v>
      </c>
      <c r="J7" t="inlineStr">
        <is>
          <t>Jun 25</t>
        </is>
      </c>
      <c r="K7" t="n">
        <v>11026.5072775</v>
      </c>
      <c r="L7" t="n">
        <v>11026.5072775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$231,826.81</t>
        </is>
      </c>
      <c r="C8" s="32" t="inlineStr">
        <is>
          <t>February 2026</t>
        </is>
      </c>
      <c r="G8" t="inlineStr">
        <is>
          <t>Jul 25</t>
        </is>
      </c>
      <c r="H8" t="n">
        <v>211634.6380325994</v>
      </c>
      <c r="J8" t="inlineStr">
        <is>
          <t>Jul 25</t>
        </is>
      </c>
      <c r="K8" t="n">
        <v>10073.0301009</v>
      </c>
      <c r="L8" t="n">
        <v>10073.0301009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$46,817.94</t>
        </is>
      </c>
      <c r="C9" s="32" t="inlineStr">
        <is>
          <t>Last 12 months</t>
        </is>
      </c>
      <c r="G9" t="inlineStr">
        <is>
          <t>Aug 25</t>
        </is>
      </c>
      <c r="H9" t="n">
        <v>211937.4543028994</v>
      </c>
      <c r="J9" t="inlineStr">
        <is>
          <t>Aug 25</t>
        </is>
      </c>
      <c r="K9" t="n">
        <v>302.8162703</v>
      </c>
      <c r="L9" t="n">
        <v>302.8162703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$3,018.72</t>
        </is>
      </c>
      <c r="C10" s="32" t="inlineStr">
        <is>
          <t>Cumulative</t>
        </is>
      </c>
      <c r="G10" t="inlineStr">
        <is>
          <t>Sep 25</t>
        </is>
      </c>
      <c r="H10" t="n">
        <v>221474.7864826998</v>
      </c>
      <c r="J10" t="inlineStr">
        <is>
          <t>Sep 25</t>
        </is>
      </c>
      <c r="K10" t="n">
        <v>9537.33217980036</v>
      </c>
      <c r="L10" t="n">
        <v>9537.33217980036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$3,901.49</t>
        </is>
      </c>
      <c r="C11" s="32" t="inlineStr">
        <is>
          <t>Per month average</t>
        </is>
      </c>
      <c r="G11" t="inlineStr">
        <is>
          <t>Oct 25</t>
        </is>
      </c>
      <c r="H11" t="n">
        <v>227239.3782809466</v>
      </c>
      <c r="J11" t="inlineStr">
        <is>
          <t>Oct 25</t>
        </is>
      </c>
      <c r="K11" t="n">
        <v>5764.59179824684</v>
      </c>
      <c r="L11" t="n">
        <v>5764.59179824684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10 of 12</t>
        </is>
      </c>
      <c r="C12" s="32" t="inlineStr">
        <is>
          <t>83% win rate</t>
        </is>
      </c>
      <c r="G12" t="inlineStr">
        <is>
          <t>Nov 25</t>
        </is>
      </c>
      <c r="H12" t="n">
        <v>227645.6965541114</v>
      </c>
      <c r="J12" t="inlineStr">
        <is>
          <t>Nov 25</t>
        </is>
      </c>
      <c r="K12" t="n">
        <v>406.31827316482</v>
      </c>
      <c r="L12" t="n">
        <v>406.31827316482</v>
      </c>
      <c r="M12" t="n">
        <v>0</v>
      </c>
    </row>
    <row r="13" ht="18" customHeight="1" s="16">
      <c r="A13" s="30" t="inlineStr">
        <is>
          <t>Best Month</t>
        </is>
      </c>
      <c r="B13" s="31" t="inlineStr">
        <is>
          <t>$20,096.73</t>
        </is>
      </c>
      <c r="C13" s="32" t="inlineStr">
        <is>
          <t>Highest profit</t>
        </is>
      </c>
      <c r="G13" t="inlineStr">
        <is>
          <t>Dec 25</t>
        </is>
      </c>
      <c r="H13" t="n">
        <v>225614.0178439762</v>
      </c>
      <c r="J13" t="inlineStr">
        <is>
          <t>Dec 25</t>
        </is>
      </c>
      <c r="K13" t="n">
        <v>-2031.67871013521</v>
      </c>
      <c r="L13" t="n">
        <v>0</v>
      </c>
      <c r="M13" t="n">
        <v>-2031.67871013521</v>
      </c>
    </row>
    <row r="14" ht="18" customHeight="1" s="16">
      <c r="A14" s="30" t="inlineStr">
        <is>
          <t>Worst Month</t>
        </is>
      </c>
      <c r="B14" s="31" t="inlineStr">
        <is>
          <t>$-15,552.91</t>
        </is>
      </c>
      <c r="C14" s="32" t="inlineStr">
        <is>
          <t>Lowest profit</t>
        </is>
      </c>
      <c r="G14" t="inlineStr">
        <is>
          <t>Jan 26</t>
        </is>
      </c>
      <c r="H14" t="n">
        <v>230339.242427971</v>
      </c>
      <c r="J14" t="inlineStr">
        <is>
          <t>Jan 26</t>
        </is>
      </c>
      <c r="K14" t="n">
        <v>4725.22458399479</v>
      </c>
      <c r="L14" t="n">
        <v>4725.22458399479</v>
      </c>
      <c r="M14" t="n">
        <v>0</v>
      </c>
    </row>
    <row r="15" ht="8" customHeight="1" s="16">
      <c r="G15" t="inlineStr">
        <is>
          <t>Feb 26</t>
        </is>
      </c>
      <c r="H15" t="n">
        <v>231826.8059299994</v>
      </c>
      <c r="J15" t="inlineStr">
        <is>
          <t>Feb 26</t>
        </is>
      </c>
      <c r="K15" t="n">
        <v>1487.5635020284</v>
      </c>
      <c r="L15" t="n">
        <v>1487.5635020284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32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21 average</t>
        </is>
      </c>
    </row>
    <row r="20" ht="24.95" customHeight="1" s="16">
      <c r="A20" s="23" t="inlineStr">
        <is>
          <t>Sell Transactions</t>
        </is>
      </c>
      <c r="B20" s="13" t="inlineStr">
        <is>
          <t>14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33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33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33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33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33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33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35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35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35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35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35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35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185008.8661494994</v>
      </c>
      <c r="C4" s="39" t="n">
        <v>169455.9607157994</v>
      </c>
      <c r="D4" s="39" t="n">
        <v>170438.3739109994</v>
      </c>
      <c r="E4" s="39" t="n">
        <v>190535.1006541994</v>
      </c>
      <c r="F4" s="39" t="n">
        <v>201561.6079316994</v>
      </c>
      <c r="G4" s="39" t="n">
        <v>211634.6380325994</v>
      </c>
      <c r="H4" s="39" t="n">
        <v>211937.4543028994</v>
      </c>
      <c r="I4" s="39" t="n">
        <v>221474.7864826998</v>
      </c>
      <c r="J4" s="39" t="n">
        <v>227239.3782809466</v>
      </c>
      <c r="K4" s="39" t="n">
        <v>227645.6965541114</v>
      </c>
      <c r="L4" s="39" t="n">
        <v>225614.0178439762</v>
      </c>
      <c r="M4" s="39" t="n">
        <v>230339.242427971</v>
      </c>
    </row>
    <row r="5" ht="18" customHeight="1" s="16">
      <c r="A5" s="38" t="inlineStr">
        <is>
          <t>Portfolio Value (End)</t>
        </is>
      </c>
      <c r="B5" s="39" t="n">
        <v>169455.9607157994</v>
      </c>
      <c r="C5" s="39" t="n">
        <v>170438.3739109994</v>
      </c>
      <c r="D5" s="39" t="n">
        <v>190535.1006541994</v>
      </c>
      <c r="E5" s="39" t="n">
        <v>201561.6079316994</v>
      </c>
      <c r="F5" s="39" t="n">
        <v>211634.6380325994</v>
      </c>
      <c r="G5" s="39" t="n">
        <v>211937.4543028994</v>
      </c>
      <c r="H5" s="39" t="n">
        <v>221474.7864826998</v>
      </c>
      <c r="I5" s="39" t="n">
        <v>227239.3782809466</v>
      </c>
      <c r="J5" s="39" t="n">
        <v>227645.6965541114</v>
      </c>
      <c r="K5" s="39" t="n">
        <v>225614.0178439762</v>
      </c>
      <c r="L5" s="39" t="n">
        <v>230339.242427971</v>
      </c>
      <c r="M5" s="39" t="n">
        <v>231826.8059299994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-15552.9054337</v>
      </c>
      <c r="C8" s="41" t="n">
        <v>982.4131952</v>
      </c>
      <c r="D8" s="41" t="n">
        <v>20096.7267432</v>
      </c>
      <c r="E8" s="41" t="n">
        <v>11026.5072775</v>
      </c>
      <c r="F8" s="41" t="n">
        <v>10073.0301009</v>
      </c>
      <c r="G8" s="41" t="n">
        <v>302.8162703</v>
      </c>
      <c r="H8" s="41" t="n">
        <v>9537.33217980036</v>
      </c>
      <c r="I8" s="41" t="n">
        <v>5764.59179824684</v>
      </c>
      <c r="J8" s="41" t="n">
        <v>406.31827316482</v>
      </c>
      <c r="K8" s="41" t="n">
        <v>-2031.67871013521</v>
      </c>
      <c r="L8" s="41" t="n">
        <v>4725.22458399479</v>
      </c>
      <c r="M8" s="41" t="n">
        <v>1487.5635020284</v>
      </c>
    </row>
    <row r="9" ht="18" customHeight="1" s="16">
      <c r="A9" s="38" t="inlineStr">
        <is>
          <t>Total profit, %</t>
        </is>
      </c>
      <c r="B9" s="41" t="n">
        <v>-8.41</v>
      </c>
      <c r="C9" s="41" t="n">
        <v>0.58</v>
      </c>
      <c r="D9" s="41" t="n">
        <v>11.79</v>
      </c>
      <c r="E9" s="41" t="n">
        <v>5.79</v>
      </c>
      <c r="F9" s="41" t="n">
        <v>5</v>
      </c>
      <c r="G9" s="41" t="n">
        <v>0.14</v>
      </c>
      <c r="H9" s="41" t="n">
        <v>4.5</v>
      </c>
      <c r="I9" s="41" t="n">
        <v>2.6</v>
      </c>
      <c r="J9" s="41" t="n">
        <v>0.18</v>
      </c>
      <c r="K9" s="41" t="n">
        <v>-0.89</v>
      </c>
      <c r="L9" s="41" t="n">
        <v>2.09</v>
      </c>
      <c r="M9" s="41" t="n">
        <v>0.65</v>
      </c>
    </row>
    <row r="10" ht="18" customHeight="1" s="16">
      <c r="A10" s="38" t="inlineStr">
        <is>
          <t>Profit from price change</t>
        </is>
      </c>
      <c r="B10" s="41" t="n">
        <v>-15590.6854337</v>
      </c>
      <c r="C10" s="41" t="n">
        <v>979.0331952</v>
      </c>
      <c r="D10" s="41" t="n">
        <v>20004.6267432</v>
      </c>
      <c r="E10" s="41" t="n">
        <v>9936.121827499999</v>
      </c>
      <c r="F10" s="41" t="n">
        <v>5421.5661009</v>
      </c>
      <c r="G10" s="41" t="n">
        <v>272.6837703</v>
      </c>
      <c r="H10" s="41" t="n">
        <v>4484.73717980036</v>
      </c>
      <c r="I10" s="41" t="n">
        <v>5290.35579824684</v>
      </c>
      <c r="J10" s="41" t="n">
        <v>1546.45250316482</v>
      </c>
      <c r="K10" s="41" t="n">
        <v>-3474.23871013521</v>
      </c>
      <c r="L10" s="41" t="n">
        <v>3885.46188939479</v>
      </c>
      <c r="M10" s="41" t="n">
        <v>1373.8512170284</v>
      </c>
    </row>
    <row r="11" ht="18" customHeight="1" s="16">
      <c r="A11" s="38" t="inlineStr">
        <is>
          <t>Net profit from sales</t>
        </is>
      </c>
      <c r="B11" s="41" t="n">
        <v>-22.92</v>
      </c>
      <c r="C11" s="41" t="n">
        <v>-0.04</v>
      </c>
      <c r="D11" s="41" t="n">
        <v>-0.04</v>
      </c>
      <c r="E11" s="41" t="n">
        <v>1188.276407</v>
      </c>
      <c r="F11" s="41" t="n">
        <v>-3619.690737</v>
      </c>
      <c r="G11" s="41" t="n">
        <v>-739.2569738</v>
      </c>
      <c r="H11" s="41" t="n">
        <v>5012.435</v>
      </c>
      <c r="I11" s="41" t="n">
        <v>1676.6439</v>
      </c>
      <c r="J11" s="41" t="n">
        <v>-352.0463422</v>
      </c>
      <c r="K11" s="41" t="n">
        <v>4.46</v>
      </c>
      <c r="L11" s="41" t="n">
        <v>2201.8794759</v>
      </c>
      <c r="M11" s="41" t="n">
        <v>-95.53366484999999</v>
      </c>
    </row>
    <row r="12" ht="18" customHeight="1" s="16">
      <c r="A12" s="38" t="inlineStr">
        <is>
          <t>Dividends</t>
        </is>
      </c>
      <c r="B12" s="41" t="n">
        <v>60.66</v>
      </c>
      <c r="C12" s="41" t="n">
        <v>3.38</v>
      </c>
      <c r="D12" s="41" t="n">
        <v>92.09999999999999</v>
      </c>
      <c r="E12" s="41" t="n">
        <v>39.43</v>
      </c>
      <c r="F12" s="41" t="n">
        <v>112.42</v>
      </c>
      <c r="G12" s="41" t="n">
        <v>254.96</v>
      </c>
      <c r="H12" s="41" t="n">
        <v>398.33</v>
      </c>
      <c r="I12" s="41" t="n">
        <v>289.88</v>
      </c>
      <c r="J12" s="41" t="n">
        <v>121.72</v>
      </c>
      <c r="K12" s="41" t="n">
        <v>1438.06</v>
      </c>
      <c r="L12" s="41" t="n">
        <v>110.57</v>
      </c>
      <c r="M12" s="41" t="n">
        <v>97.20999999999999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10</v>
      </c>
      <c r="C15" s="42" t="n">
        <v>1</v>
      </c>
      <c r="D15" s="42" t="n">
        <v>3</v>
      </c>
      <c r="E15" s="42" t="n">
        <v>12</v>
      </c>
      <c r="F15" s="42" t="n">
        <v>69</v>
      </c>
      <c r="G15" s="42" t="n">
        <v>65</v>
      </c>
      <c r="H15" s="42" t="n">
        <v>78</v>
      </c>
      <c r="I15" s="42" t="n">
        <v>62</v>
      </c>
      <c r="J15" s="42" t="n">
        <v>43</v>
      </c>
      <c r="K15" s="42" t="n">
        <v>27</v>
      </c>
      <c r="L15" s="42" t="n">
        <v>16</v>
      </c>
      <c r="M15" s="42" t="n">
        <v>9</v>
      </c>
    </row>
    <row r="16" ht="18" customHeight="1" s="16">
      <c r="A16" s="38" t="inlineStr">
        <is>
          <t>Buy trades</t>
        </is>
      </c>
      <c r="B16" s="42" t="n">
        <v>6</v>
      </c>
      <c r="C16" s="42" t="n">
        <v>1</v>
      </c>
      <c r="D16" s="42" t="n">
        <v>3</v>
      </c>
      <c r="E16" s="42" t="n">
        <v>6</v>
      </c>
      <c r="F16" s="42" t="n">
        <v>37</v>
      </c>
      <c r="G16" s="42" t="n">
        <v>45</v>
      </c>
      <c r="H16" s="42" t="n">
        <v>52</v>
      </c>
      <c r="I16" s="42" t="n">
        <v>38</v>
      </c>
      <c r="J16" s="42" t="n">
        <v>29</v>
      </c>
      <c r="K16" s="42" t="n">
        <v>24</v>
      </c>
      <c r="L16" s="42" t="n">
        <v>9</v>
      </c>
      <c r="M16" s="42" t="n">
        <v>5</v>
      </c>
    </row>
    <row r="17" ht="18" customHeight="1" s="16">
      <c r="A17" s="38" t="inlineStr">
        <is>
          <t>Sell trades</t>
        </is>
      </c>
      <c r="B17" s="42" t="n">
        <v>4</v>
      </c>
      <c r="C17" s="42" t="inlineStr">
        <is>
          <t>-</t>
        </is>
      </c>
      <c r="D17" s="42" t="inlineStr">
        <is>
          <t>-</t>
        </is>
      </c>
      <c r="E17" s="42" t="n">
        <v>6</v>
      </c>
      <c r="F17" s="42" t="n">
        <v>32</v>
      </c>
      <c r="G17" s="42" t="n">
        <v>20</v>
      </c>
      <c r="H17" s="42" t="n">
        <v>26</v>
      </c>
      <c r="I17" s="42" t="n">
        <v>24</v>
      </c>
      <c r="J17" s="42" t="n">
        <v>14</v>
      </c>
      <c r="K17" s="42" t="n">
        <v>3</v>
      </c>
      <c r="L17" s="42" t="n">
        <v>7</v>
      </c>
      <c r="M17" s="42" t="n">
        <v>4</v>
      </c>
    </row>
    <row r="18" ht="18" customHeight="1" s="16">
      <c r="A18" s="38" t="inlineStr">
        <is>
          <t>Total purchases</t>
        </is>
      </c>
      <c r="B18" s="42" t="n">
        <v>5557.51</v>
      </c>
      <c r="C18" s="42" t="n">
        <v>3.38</v>
      </c>
      <c r="D18" s="42" t="n">
        <v>92.09999999999999</v>
      </c>
      <c r="E18" s="42" t="n">
        <v>23628.19</v>
      </c>
      <c r="F18" s="42" t="n">
        <v>150868.65257</v>
      </c>
      <c r="G18" s="42" t="n">
        <v>104392.79149</v>
      </c>
      <c r="H18" s="42" t="n">
        <v>153757.5407071</v>
      </c>
      <c r="I18" s="42" t="n">
        <v>143851.9792045</v>
      </c>
      <c r="J18" s="42" t="n">
        <v>42772.1709079</v>
      </c>
      <c r="K18" s="42" t="n">
        <v>6713.4218235</v>
      </c>
      <c r="L18" s="42" t="n">
        <v>88153.4476254</v>
      </c>
      <c r="M18" s="42" t="n">
        <v>24477.75</v>
      </c>
    </row>
    <row r="19" ht="18" customHeight="1" s="16">
      <c r="A19" s="38" t="inlineStr">
        <is>
          <t>Total sales</t>
        </is>
      </c>
      <c r="B19" s="42" t="n">
        <v>5496.97</v>
      </c>
      <c r="C19" s="42" t="inlineStr">
        <is>
          <t>-</t>
        </is>
      </c>
      <c r="D19" s="42" t="inlineStr">
        <is>
          <t>-</t>
        </is>
      </c>
      <c r="E19" s="42" t="n">
        <v>25738.75525</v>
      </c>
      <c r="F19" s="42" t="n">
        <v>134168.734</v>
      </c>
      <c r="G19" s="42" t="n">
        <v>114881.325</v>
      </c>
      <c r="H19" s="42" t="n">
        <v>157053.355</v>
      </c>
      <c r="I19" s="42" t="n">
        <v>147127.993</v>
      </c>
      <c r="J19" s="42" t="n">
        <v>39430.06324</v>
      </c>
      <c r="K19" s="42" t="n">
        <v>12246.12</v>
      </c>
      <c r="L19" s="42" t="n">
        <v>112948.27972</v>
      </c>
      <c r="M19" s="42" t="n">
        <v>24380.537535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Rollover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169455.9607157994</v>
      </c>
      <c r="C6" t="n">
        <v>170438.3739109994</v>
      </c>
      <c r="D6" t="n">
        <v>190535.1006541994</v>
      </c>
      <c r="E6" t="n">
        <v>201561.6079316994</v>
      </c>
      <c r="F6" t="n">
        <v>211634.6380325994</v>
      </c>
      <c r="G6" t="n">
        <v>211937.4543028994</v>
      </c>
      <c r="H6" t="n">
        <v>221474.7864826998</v>
      </c>
      <c r="I6" t="n">
        <v>227239.3782809466</v>
      </c>
      <c r="J6" t="n">
        <v>227645.6965541114</v>
      </c>
      <c r="K6" t="n">
        <v>225614.0178439762</v>
      </c>
      <c r="L6" t="n">
        <v>230339.242427971</v>
      </c>
      <c r="M6" t="n">
        <v>231826.8059299994</v>
      </c>
    </row>
    <row r="7">
      <c r="A7" t="inlineStr">
        <is>
          <t>At the beginning of the period</t>
        </is>
      </c>
      <c r="B7" t="n">
        <v>185008.8661494994</v>
      </c>
      <c r="C7" t="n">
        <v>169455.9607157994</v>
      </c>
      <c r="D7" t="n">
        <v>170438.3739109994</v>
      </c>
      <c r="E7" t="n">
        <v>190535.1006541994</v>
      </c>
      <c r="F7" t="n">
        <v>201561.6079316994</v>
      </c>
      <c r="G7" t="n">
        <v>211634.6380325994</v>
      </c>
      <c r="H7" t="n">
        <v>211937.4543028994</v>
      </c>
      <c r="I7" t="n">
        <v>221474.7864826998</v>
      </c>
      <c r="J7" t="n">
        <v>227239.3782809466</v>
      </c>
      <c r="K7" t="n">
        <v>227645.6965541114</v>
      </c>
      <c r="L7" t="n">
        <v>225614.0178439762</v>
      </c>
      <c r="M7" t="n">
        <v>230339.242427971</v>
      </c>
    </row>
    <row r="8">
      <c r="A8" t="inlineStr">
        <is>
          <t>At the end of the period</t>
        </is>
      </c>
      <c r="B8" t="n">
        <v>169455.9607157994</v>
      </c>
      <c r="C8" t="n">
        <v>170438.3739109994</v>
      </c>
      <c r="D8" t="n">
        <v>190535.1006541994</v>
      </c>
      <c r="E8" t="n">
        <v>201561.6079316994</v>
      </c>
      <c r="F8" t="n">
        <v>211634.6380325994</v>
      </c>
      <c r="G8" t="n">
        <v>211937.4543028994</v>
      </c>
      <c r="H8" t="n">
        <v>221474.7864826998</v>
      </c>
      <c r="I8" t="n">
        <v>227239.3782809466</v>
      </c>
      <c r="J8" t="n">
        <v>227645.6965541114</v>
      </c>
      <c r="K8" t="n">
        <v>225614.0178439762</v>
      </c>
      <c r="L8" t="n">
        <v>230339.242427971</v>
      </c>
      <c r="M8" t="n">
        <v>231826.8059299994</v>
      </c>
    </row>
    <row r="9">
      <c r="A9" t="inlineStr">
        <is>
          <t>Change</t>
        </is>
      </c>
      <c r="B9" t="n">
        <v>-15552.9054337</v>
      </c>
      <c r="C9" t="n">
        <v>982.4131952</v>
      </c>
      <c r="D9" t="n">
        <v>20096.7267432</v>
      </c>
      <c r="E9" t="n">
        <v>11026.5072775</v>
      </c>
      <c r="F9" t="n">
        <v>10073.0301009</v>
      </c>
      <c r="G9" t="n">
        <v>302.8162703</v>
      </c>
      <c r="H9" t="n">
        <v>9537.33217980036</v>
      </c>
      <c r="I9" t="n">
        <v>5764.59179824684</v>
      </c>
      <c r="J9" t="n">
        <v>406.31827316482</v>
      </c>
      <c r="K9" t="n">
        <v>-2031.67871013521</v>
      </c>
      <c r="L9" t="n">
        <v>4725.22458399479</v>
      </c>
      <c r="M9" t="n">
        <v>1487.5635020284</v>
      </c>
    </row>
    <row r="11">
      <c r="A11" t="inlineStr">
        <is>
          <t>Total profit</t>
        </is>
      </c>
      <c r="B11" t="n">
        <v>-15552.9054337</v>
      </c>
      <c r="C11" t="n">
        <v>982.4131952</v>
      </c>
      <c r="D11" t="n">
        <v>20096.7267432</v>
      </c>
      <c r="E11" t="n">
        <v>11026.5072775</v>
      </c>
      <c r="F11" t="n">
        <v>10073.0301009</v>
      </c>
      <c r="G11" t="n">
        <v>302.8162703</v>
      </c>
      <c r="H11" t="n">
        <v>9537.33217980036</v>
      </c>
      <c r="I11" t="n">
        <v>5764.59179824684</v>
      </c>
      <c r="J11" t="n">
        <v>406.31827316482</v>
      </c>
      <c r="K11" t="n">
        <v>-2031.67871013521</v>
      </c>
      <c r="L11" t="n">
        <v>4725.22458399479</v>
      </c>
      <c r="M11" t="n">
        <v>1487.5635020284</v>
      </c>
    </row>
    <row r="12">
      <c r="A12" t="inlineStr">
        <is>
          <t>Total profit, %</t>
        </is>
      </c>
      <c r="B12" t="n">
        <v>-8.41</v>
      </c>
      <c r="C12" t="n">
        <v>0.58</v>
      </c>
      <c r="D12" t="n">
        <v>11.79</v>
      </c>
      <c r="E12" t="n">
        <v>5.79</v>
      </c>
      <c r="F12" t="n">
        <v>5</v>
      </c>
      <c r="G12" t="n">
        <v>0.14</v>
      </c>
      <c r="H12" t="n">
        <v>4.5</v>
      </c>
      <c r="I12" t="n">
        <v>2.6</v>
      </c>
      <c r="J12" t="n">
        <v>0.18</v>
      </c>
      <c r="K12" t="n">
        <v>-0.89</v>
      </c>
      <c r="L12" t="n">
        <v>2.09</v>
      </c>
      <c r="M12" t="n">
        <v>0.65</v>
      </c>
    </row>
    <row r="13">
      <c r="A13" t="inlineStr">
        <is>
          <t>Net profit from sales</t>
        </is>
      </c>
      <c r="B13" t="n">
        <v>-22.92</v>
      </c>
      <c r="C13" t="n">
        <v>-0.04</v>
      </c>
      <c r="D13" t="n">
        <v>-0.04</v>
      </c>
      <c r="E13" t="n">
        <v>1188.276407</v>
      </c>
      <c r="F13" t="n">
        <v>-3619.690737</v>
      </c>
      <c r="G13" t="n">
        <v>-739.2569738</v>
      </c>
      <c r="H13" t="n">
        <v>5012.435</v>
      </c>
      <c r="I13" t="n">
        <v>1676.6439</v>
      </c>
      <c r="J13" t="n">
        <v>-352.0463422</v>
      </c>
      <c r="K13" t="n">
        <v>4.46</v>
      </c>
      <c r="L13" t="n">
        <v>2201.8794759</v>
      </c>
      <c r="M13" t="n">
        <v>-95.53366484999999</v>
      </c>
    </row>
    <row r="14">
      <c r="A14" t="inlineStr">
        <is>
          <t>Profit from price change</t>
        </is>
      </c>
      <c r="B14" t="n">
        <v>-15590.6854337</v>
      </c>
      <c r="C14" t="n">
        <v>979.0331952</v>
      </c>
      <c r="D14" t="n">
        <v>20004.6267432</v>
      </c>
      <c r="E14" t="n">
        <v>9936.121827499999</v>
      </c>
      <c r="F14" t="n">
        <v>5421.5661009</v>
      </c>
      <c r="G14" t="n">
        <v>272.6837703</v>
      </c>
      <c r="H14" t="n">
        <v>4484.73717980036</v>
      </c>
      <c r="I14" t="n">
        <v>5290.35579824684</v>
      </c>
      <c r="J14" t="n">
        <v>1546.45250316482</v>
      </c>
      <c r="K14" t="n">
        <v>-3474.23871013521</v>
      </c>
      <c r="L14" t="n">
        <v>3885.46188939479</v>
      </c>
      <c r="M14" t="n">
        <v>1373.8512170284</v>
      </c>
    </row>
    <row r="15">
      <c r="A15" t="inlineStr">
        <is>
          <t>Profit from sales</t>
        </is>
      </c>
      <c r="B15" t="n">
        <v>-22.76</v>
      </c>
      <c r="C15" t="inlineStr">
        <is>
          <t>-</t>
        </is>
      </c>
      <c r="D15" t="inlineStr">
        <is>
          <t>-</t>
        </is>
      </c>
      <c r="E15" t="n">
        <v>1050.95545</v>
      </c>
      <c r="F15" t="n">
        <v>6211.044</v>
      </c>
      <c r="G15" t="n">
        <v>-224.8275</v>
      </c>
      <c r="H15" t="n">
        <v>4654.515</v>
      </c>
      <c r="I15" t="n">
        <v>184.356</v>
      </c>
      <c r="J15" t="n">
        <v>-1261.85423</v>
      </c>
      <c r="K15" t="n">
        <v>4.5</v>
      </c>
      <c r="L15" t="n">
        <v>729.1926946</v>
      </c>
      <c r="M15" t="n">
        <v>16.502285</v>
      </c>
    </row>
    <row r="16">
      <c r="A16" t="inlineStr">
        <is>
          <t>Dividends</t>
        </is>
      </c>
      <c r="B16" t="n">
        <v>60.66</v>
      </c>
      <c r="C16" t="n">
        <v>3.38</v>
      </c>
      <c r="D16" t="n">
        <v>92.09999999999999</v>
      </c>
      <c r="E16" t="n">
        <v>39.43</v>
      </c>
      <c r="F16" t="n">
        <v>112.42</v>
      </c>
      <c r="G16" t="n">
        <v>254.96</v>
      </c>
      <c r="H16" t="n">
        <v>398.33</v>
      </c>
      <c r="I16" t="n">
        <v>289.88</v>
      </c>
      <c r="J16" t="n">
        <v>121.72</v>
      </c>
      <c r="K16" t="n">
        <v>1438.06</v>
      </c>
      <c r="L16" t="n">
        <v>110.57</v>
      </c>
      <c r="M16" t="n">
        <v>97.20999999999999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-0.12</v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-0.25</v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n">
        <v>-1672</v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11054.48</v>
      </c>
      <c r="C21" t="n">
        <v>3.38</v>
      </c>
      <c r="D21" t="n">
        <v>92.09999999999999</v>
      </c>
      <c r="E21" t="n">
        <v>49366.94525</v>
      </c>
      <c r="F21" t="n">
        <v>285037.38657</v>
      </c>
      <c r="G21" t="n">
        <v>219274.11649</v>
      </c>
      <c r="H21" t="n">
        <v>310810.8957071</v>
      </c>
      <c r="I21" t="n">
        <v>290979.9722045</v>
      </c>
      <c r="J21" t="n">
        <v>82202.2341479</v>
      </c>
      <c r="K21" t="n">
        <v>18959.5418235</v>
      </c>
      <c r="L21" t="n">
        <v>201101.7273454</v>
      </c>
      <c r="M21" t="n">
        <v>48858.287535</v>
      </c>
    </row>
    <row r="22">
      <c r="A22" t="inlineStr">
        <is>
          <t>Total purchases</t>
        </is>
      </c>
      <c r="B22" t="n">
        <v>5557.51</v>
      </c>
      <c r="C22" t="n">
        <v>3.38</v>
      </c>
      <c r="D22" t="n">
        <v>92.09999999999999</v>
      </c>
      <c r="E22" t="n">
        <v>23628.19</v>
      </c>
      <c r="F22" t="n">
        <v>150868.65257</v>
      </c>
      <c r="G22" t="n">
        <v>104392.79149</v>
      </c>
      <c r="H22" t="n">
        <v>153757.5407071</v>
      </c>
      <c r="I22" t="n">
        <v>143851.9792045</v>
      </c>
      <c r="J22" t="n">
        <v>42772.1709079</v>
      </c>
      <c r="K22" t="n">
        <v>6713.4218235</v>
      </c>
      <c r="L22" t="n">
        <v>88153.4476254</v>
      </c>
      <c r="M22" t="n">
        <v>24477.75</v>
      </c>
    </row>
    <row r="23">
      <c r="A23" t="inlineStr">
        <is>
          <t>Total sales</t>
        </is>
      </c>
      <c r="B23" t="n">
        <v>5496.97</v>
      </c>
      <c r="C23" t="inlineStr">
        <is>
          <t>-</t>
        </is>
      </c>
      <c r="D23" t="inlineStr">
        <is>
          <t>-</t>
        </is>
      </c>
      <c r="E23" t="n">
        <v>25738.75525</v>
      </c>
      <c r="F23" t="n">
        <v>134168.734</v>
      </c>
      <c r="G23" t="n">
        <v>114881.325</v>
      </c>
      <c r="H23" t="n">
        <v>157053.355</v>
      </c>
      <c r="I23" t="n">
        <v>147127.993</v>
      </c>
      <c r="J23" t="n">
        <v>39430.06324</v>
      </c>
      <c r="K23" t="n">
        <v>12246.12</v>
      </c>
      <c r="L23" t="n">
        <v>112948.27972</v>
      </c>
      <c r="M23" t="n">
        <v>24380.537535</v>
      </c>
    </row>
    <row r="25">
      <c r="A25" t="inlineStr">
        <is>
          <t>Total trades</t>
        </is>
      </c>
      <c r="B25" t="n">
        <v>10</v>
      </c>
      <c r="C25" t="n">
        <v>1</v>
      </c>
      <c r="D25" t="n">
        <v>3</v>
      </c>
      <c r="E25" t="n">
        <v>12</v>
      </c>
      <c r="F25" t="n">
        <v>69</v>
      </c>
      <c r="G25" t="n">
        <v>65</v>
      </c>
      <c r="H25" t="n">
        <v>78</v>
      </c>
      <c r="I25" t="n">
        <v>62</v>
      </c>
      <c r="J25" t="n">
        <v>43</v>
      </c>
      <c r="K25" t="n">
        <v>27</v>
      </c>
      <c r="L25" t="n">
        <v>16</v>
      </c>
      <c r="M25" t="n">
        <v>9</v>
      </c>
    </row>
    <row r="26">
      <c r="A26" t="inlineStr">
        <is>
          <t>Buy trades</t>
        </is>
      </c>
      <c r="B26" t="n">
        <v>6</v>
      </c>
      <c r="C26" t="n">
        <v>1</v>
      </c>
      <c r="D26" t="n">
        <v>3</v>
      </c>
      <c r="E26" t="n">
        <v>6</v>
      </c>
      <c r="F26" t="n">
        <v>37</v>
      </c>
      <c r="G26" t="n">
        <v>45</v>
      </c>
      <c r="H26" t="n">
        <v>52</v>
      </c>
      <c r="I26" t="n">
        <v>38</v>
      </c>
      <c r="J26" t="n">
        <v>29</v>
      </c>
      <c r="K26" t="n">
        <v>24</v>
      </c>
      <c r="L26" t="n">
        <v>9</v>
      </c>
      <c r="M26" t="n">
        <v>5</v>
      </c>
    </row>
    <row r="27">
      <c r="A27" t="inlineStr">
        <is>
          <t>Sell trades</t>
        </is>
      </c>
      <c r="B27" t="n">
        <v>4</v>
      </c>
      <c r="C27" t="inlineStr">
        <is>
          <t>-</t>
        </is>
      </c>
      <c r="D27" t="inlineStr">
        <is>
          <t>-</t>
        </is>
      </c>
      <c r="E27" t="n">
        <v>6</v>
      </c>
      <c r="F27" t="n">
        <v>32</v>
      </c>
      <c r="G27" t="n">
        <v>20</v>
      </c>
      <c r="H27" t="n">
        <v>26</v>
      </c>
      <c r="I27" t="n">
        <v>24</v>
      </c>
      <c r="J27" t="n">
        <v>14</v>
      </c>
      <c r="K27" t="n">
        <v>3</v>
      </c>
      <c r="L27" t="n">
        <v>7</v>
      </c>
      <c r="M27" t="n">
        <v>4</v>
      </c>
    </row>
    <row r="29">
      <c r="A29" t="inlineStr">
        <is>
          <t>Cash funds</t>
        </is>
      </c>
      <c r="B29" t="n">
        <v>-27088.18841660059</v>
      </c>
      <c r="C29" t="n">
        <v>-27088.18841660059</v>
      </c>
      <c r="D29" t="n">
        <v>-27088.18841660059</v>
      </c>
      <c r="E29" t="n">
        <v>-24938.19316660059</v>
      </c>
      <c r="F29" t="n">
        <v>-41525.69173660059</v>
      </c>
      <c r="G29" t="n">
        <v>-30782.19822660059</v>
      </c>
      <c r="H29" t="n">
        <v>-27088.30393370059</v>
      </c>
      <c r="I29" t="n">
        <v>-23522.41013820059</v>
      </c>
      <c r="J29" t="n">
        <v>-26742.79780610059</v>
      </c>
      <c r="K29" t="n">
        <v>-19772.03962960059</v>
      </c>
      <c r="L29" t="n">
        <v>5133.36246499941</v>
      </c>
      <c r="M29" t="n">
        <v>5133.35999999941</v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-27088.18841660059</v>
      </c>
      <c r="C32" t="n">
        <v>-27088.18841660059</v>
      </c>
      <c r="D32" t="n">
        <v>-27088.18841660059</v>
      </c>
      <c r="E32" t="n">
        <v>-24938.19316660059</v>
      </c>
      <c r="F32" t="n">
        <v>-41525.69173660059</v>
      </c>
      <c r="G32" t="n">
        <v>-30782.19822660059</v>
      </c>
      <c r="H32" t="n">
        <v>-27088.30393370059</v>
      </c>
      <c r="I32" t="n">
        <v>-23522.41013820059</v>
      </c>
      <c r="J32" t="n">
        <v>-26742.79780610059</v>
      </c>
      <c r="K32" t="n">
        <v>-19772.03962960059</v>
      </c>
      <c r="L32" t="n">
        <v>5133.36246499941</v>
      </c>
      <c r="M32" t="n">
        <v>5133.35999999941</v>
      </c>
    </row>
    <row r="35">
      <c r="A35" t="inlineStr">
        <is>
          <t>S&amp;P 500 Market Performance</t>
        </is>
      </c>
      <c r="B35" t="n">
        <v>-10832.50606439309</v>
      </c>
      <c r="C35" t="n">
        <v>-955.4409268982845</v>
      </c>
      <c r="D35" t="n">
        <v>10711.17923107139</v>
      </c>
      <c r="E35" t="n">
        <v>9200.408837303848</v>
      </c>
      <c r="F35" t="n">
        <v>5216.754345611079</v>
      </c>
      <c r="G35" t="n">
        <v>4342.64848639858</v>
      </c>
      <c r="H35" t="n">
        <v>6942.467110177916</v>
      </c>
      <c r="I35" t="n">
        <v>5888.108234103539</v>
      </c>
      <c r="J35" t="n">
        <v>443.1111238214512</v>
      </c>
      <c r="K35" t="n">
        <v>-489.6752570780137</v>
      </c>
      <c r="L35" t="n">
        <v>3984.440428342043</v>
      </c>
      <c r="M35" t="n">
        <v>-449.3807206638451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2026-02-07T22:59:54Z</dcterms:created>
  <dcterms:modified xmlns:dcterms="http://purl.org/dc/terms/" xmlns:xsi="http://www.w3.org/2001/XMLSchema-instance" xsi:type="dcterms:W3CDTF">2026-02-08T20:55:56Z</dcterms:modified>
  <cp:lastModifiedBy>Aladdin Zahran</cp:lastModifiedBy>
</cp:coreProperties>
</file>