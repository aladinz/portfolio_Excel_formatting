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Performance" sheetId="2" state="visible" r:id="rId2"/>
    <sheet xmlns:r="http://schemas.openxmlformats.org/officeDocument/2006/relationships" name="Data Sourc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b val="1"/>
      <sz val="10"/>
    </font>
    <font>
      <name val="Calibri"/>
      <b val="1"/>
      <color rgb="FFFFFFFF"/>
      <sz val="14"/>
    </font>
    <font>
      <name val="Calibri"/>
      <i val="1"/>
      <sz val="10"/>
    </font>
    <font>
      <name val="Calibri"/>
      <b val="1"/>
      <sz val="11"/>
    </font>
    <font>
      <name val="Calibri"/>
      <sz val="10"/>
    </font>
    <font>
      <b val="1"/>
      <color rgb="00FFFFFF"/>
      <sz val="16"/>
    </font>
    <font>
      <i val="1"/>
      <sz val="10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b val="1"/>
      <sz val="11"/>
    </font>
    <font>
      <sz val="10"/>
    </font>
    <font>
      <b val="1"/>
      <color rgb="00FFFFFF"/>
      <sz val="14"/>
    </font>
  </fonts>
  <fills count="21">
    <fill>
      <patternFill/>
    </fill>
    <fill>
      <patternFill patternType="gray125"/>
    </fill>
    <fill>
      <patternFill patternType="solid">
        <fgColor rgb="FF1F4788"/>
        <bgColor rgb="FF1F478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7E6E6"/>
        <bgColor rgb="FFE7E6E6"/>
      </patternFill>
    </fill>
    <fill>
      <patternFill patternType="solid">
        <fgColor rgb="FFF4B084"/>
        <bgColor rgb="FFF4B084"/>
      </patternFill>
    </fill>
    <fill>
      <patternFill patternType="solid">
        <fgColor rgb="FFF1DCDB"/>
        <bgColor rgb="FFF1DCDB"/>
      </patternFill>
    </fill>
    <fill>
      <patternFill patternType="solid">
        <fgColor rgb="001F4788"/>
        <bgColor rgb="001F478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  <fill>
      <patternFill patternType="solid">
        <fgColor rgb="00F1DCDB"/>
        <bgColor rgb="00F1DCDB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5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4" fillId="9" borderId="4" pivotButton="0" quotePrefix="0" xfId="0"/>
    <xf numFmtId="0" fontId="4" fillId="4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left" vertical="center"/>
    </xf>
    <xf numFmtId="0" fontId="0" fillId="0" borderId="0" pivotButton="0" quotePrefix="0" xfId="0"/>
    <xf numFmtId="0" fontId="8" fillId="7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0" fillId="0" borderId="0" pivotButton="0" quotePrefix="0" xfId="0"/>
    <xf numFmtId="0" fontId="8" fillId="1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2" fillId="3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13" borderId="0" applyAlignment="1" pivotButton="0" quotePrefix="0" xfId="0">
      <alignment horizontal="left" vertical="center"/>
    </xf>
    <xf numFmtId="0" fontId="12" fillId="12" borderId="7" applyAlignment="1" pivotButton="0" quotePrefix="0" xfId="0">
      <alignment horizontal="center" vertical="center" wrapText="1"/>
    </xf>
    <xf numFmtId="0" fontId="13" fillId="14" borderId="7" applyAlignment="1" pivotButton="0" quotePrefix="0" xfId="0">
      <alignment horizontal="left" vertical="center" wrapText="1"/>
    </xf>
    <xf numFmtId="0" fontId="14" fillId="15" borderId="7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5" fillId="17" borderId="7" applyAlignment="1" pivotButton="0" quotePrefix="0" xfId="0">
      <alignment horizontal="left" vertical="top" wrapText="1"/>
    </xf>
    <xf numFmtId="0" fontId="0" fillId="17" borderId="7" pivotButton="0" quotePrefix="0" xfId="0"/>
    <xf numFmtId="0" fontId="15" fillId="18" borderId="7" applyAlignment="1" pivotButton="0" quotePrefix="0" xfId="0">
      <alignment horizontal="left" vertical="top" wrapText="1"/>
    </xf>
    <xf numFmtId="0" fontId="0" fillId="18" borderId="7" pivotButton="0" quotePrefix="0" xfId="0"/>
    <xf numFmtId="0" fontId="16" fillId="12" borderId="0" applyAlignment="1" pivotButton="0" quotePrefix="0" xfId="0">
      <alignment horizontal="left" vertical="center" wrapText="1"/>
    </xf>
    <xf numFmtId="0" fontId="13" fillId="14" borderId="7" applyAlignment="1" pivotButton="0" quotePrefix="0" xfId="0">
      <alignment horizontal="right" vertical="center"/>
    </xf>
    <xf numFmtId="0" fontId="0" fillId="15" borderId="7" applyAlignment="1" pivotButton="0" quotePrefix="0" xfId="0">
      <alignment horizontal="right" vertical="center"/>
    </xf>
    <xf numFmtId="0" fontId="11" fillId="13" borderId="1" applyAlignment="1" pivotButton="0" quotePrefix="0" xfId="0">
      <alignment horizontal="left" vertical="center"/>
    </xf>
    <xf numFmtId="0" fontId="0" fillId="19" borderId="7" applyAlignment="1" pivotButton="0" quotePrefix="0" xfId="0">
      <alignment horizontal="right" vertical="center"/>
    </xf>
    <xf numFmtId="0" fontId="0" fillId="17" borderId="7" applyAlignment="1" pivotButton="0" quotePrefix="0" xfId="0">
      <alignment horizontal="right" vertical="center"/>
    </xf>
    <xf numFmtId="0" fontId="0" fillId="18" borderId="7" applyAlignment="1" pivotButton="0" quotePrefix="0" xfId="0">
      <alignment horizontal="right" vertical="center"/>
    </xf>
    <xf numFmtId="0" fontId="0" fillId="20" borderId="7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Portfolio Growth - 12 Month Progression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'Executive Summary'!$H$3</f>
              <strCache>
                <ptCount val="1"/>
                <pt idx="0">
                  <v>Portfolio Value</v>
                </pt>
              </strCache>
            </strRef>
          </tx>
          <spPr>
            <a:ln xmlns:a="http://schemas.openxmlformats.org/drawingml/2006/main" w="25000">
              <a:solidFill>
                <a:srgbClr val="1F47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'Executive Summary'!$G$4:$G$15</f>
              <strCache>
                <ptCount val="12"/>
                <pt idx="0">
                  <v>Mar 25</v>
                </pt>
                <pt idx="1">
                  <v>Apr 25</v>
                </pt>
                <pt idx="2">
                  <v>May 25</v>
                </pt>
                <pt idx="3">
                  <v>Jun 25</v>
                </pt>
                <pt idx="4">
                  <v>Jul 25</v>
                </pt>
                <pt idx="5">
                  <v>Aug 25</v>
                </pt>
                <pt idx="6">
                  <v>Sep 25</v>
                </pt>
                <pt idx="7">
                  <v>Oct 25</v>
                </pt>
                <pt idx="8">
                  <v>Nov 25</v>
                </pt>
                <pt idx="9">
                  <v>Dec 25</v>
                </pt>
                <pt idx="10">
                  <v>Jan 26</v>
                </pt>
                <pt idx="11">
                  <v>Feb 26</v>
                </pt>
              </strCache>
            </strRef>
          </cat>
          <val>
            <numRef>
              <f>'Executive Summary'!$H$4:$H$15</f>
              <numCache>
                <formatCode>General</formatCode>
                <ptCount val="12"/>
                <pt idx="0">
                  <v>12476.54631329232</v>
                </pt>
                <pt idx="1">
                  <v>12614.2312686328</v>
                </pt>
                <pt idx="2">
                  <v>13618.5698069572</v>
                </pt>
                <pt idx="3">
                  <v>14525.9969986328</v>
                </pt>
                <pt idx="4">
                  <v>15881.9254586328</v>
                </pt>
                <pt idx="5">
                  <v>15962.3488386328</v>
                </pt>
                <pt idx="6">
                  <v>17259.3491776328</v>
                </pt>
                <pt idx="7">
                  <v>18417.1269276328</v>
                </pt>
                <pt idx="8">
                  <v>161024.3370599993</v>
                </pt>
                <pt idx="9">
                  <v>157033.8022399993</v>
                </pt>
                <pt idx="10">
                  <v>160147.61</v>
                </pt>
                <pt idx="11">
                  <v>146360.09</v>
                </pt>
              </numCache>
            </numRef>
          </val>
          <smooth val="1"/>
        </ser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Portfolio Value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Monthly Returns - 12 Month Performance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'Executive Summary'!$K$3</f>
              <strCache>
                <ptCount val="1"/>
                <pt idx="0">
                  <v>Monthly Profit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'Executive Summary'!$J$4:$J$15</f>
              <strCache>
                <ptCount val="12"/>
                <pt idx="0">
                  <v>Mar 25</v>
                </pt>
                <pt idx="1">
                  <v>Apr 25</v>
                </pt>
                <pt idx="2">
                  <v>May 25</v>
                </pt>
                <pt idx="3">
                  <v>Jun 25</v>
                </pt>
                <pt idx="4">
                  <v>Jul 25</v>
                </pt>
                <pt idx="5">
                  <v>Aug 25</v>
                </pt>
                <pt idx="6">
                  <v>Sep 25</v>
                </pt>
                <pt idx="7">
                  <v>Oct 25</v>
                </pt>
                <pt idx="8">
                  <v>Nov 25</v>
                </pt>
                <pt idx="9">
                  <v>Dec 25</v>
                </pt>
                <pt idx="10">
                  <v>Jan 26</v>
                </pt>
                <pt idx="11">
                  <v>Feb 26</v>
                </pt>
              </strCache>
            </strRef>
          </cat>
          <val>
            <numRef>
              <f>'Executive Summary'!$K$4:$K$15</f>
              <numCache>
                <formatCode>General</formatCode>
                <ptCount val="12"/>
                <pt idx="0">
                  <v>-766.34964434584</v>
                </pt>
                <pt idx="1">
                  <v>37.68495534048</v>
                </pt>
                <pt idx="2">
                  <v>904.3385383244</v>
                </pt>
                <pt idx="3">
                  <v>807.4271916756001</v>
                </pt>
                <pt idx="4">
                  <v>1255.92846</v>
                </pt>
                <pt idx="5">
                  <v>-19.57662</v>
                </pt>
                <pt idx="6">
                  <v>1151.420339</v>
                </pt>
                <pt idx="7">
                  <v>1086.78775</v>
                </pt>
                <pt idx="8">
                  <v>1012.46006236647</v>
                </pt>
                <pt idx="9">
                  <v>955.90518</v>
                </pt>
                <pt idx="10">
                  <v>3113.80776000073</v>
                </pt>
                <pt idx="11">
                  <v>1212.48</v>
                </pt>
              </numCache>
            </numRef>
          </val>
          <dLbls>
            <showLegendKey val="0"/>
            <showVal val="1"/>
            <showCatName val="0"/>
            <dLbl>
              <idx val="10"/>
              <showVal val="1"/>
            </dLbl>
          </dLbls>
        </ser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Profit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Growth - 12 Month Progression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Summary'!H3</f>
            </strRef>
          </tx>
          <spPr>
            <a:ln xmlns:a="http://schemas.openxmlformats.org/drawingml/2006/main" w="30000">
              <a:solidFill>
                <a:srgbClr val="1F47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Summary'!$G$4:$G$15</f>
            </numRef>
          </cat>
          <val>
            <numRef>
              <f>'Executive Summary'!$H$4:$H$15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Returns - 12 Month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Summary'!L3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'Executive Summary'!$J$4:$J$15</f>
            </numRef>
          </cat>
          <val>
            <numRef>
              <f>'Executive Summary'!$L$4:$L$15</f>
            </numRef>
          </val>
        </ser>
        <ser>
          <idx val="1"/>
          <order val="1"/>
          <tx>
            <strRef>
              <f>'Executive Summary'!M3</f>
            </strRef>
          </tx>
          <spPr>
            <a:solidFill xmlns:a="http://schemas.openxmlformats.org/drawingml/2006/main">
              <a:srgbClr val="C5504F"/>
            </a:solidFill>
            <a:ln xmlns:a="http://schemas.openxmlformats.org/drawingml/2006/main">
              <a:prstDash val="solid"/>
            </a:ln>
          </spPr>
          <cat>
            <numRef>
              <f>'Executive Summary'!$J$4:$J$15</f>
            </numRef>
          </cat>
          <val>
            <numRef>
              <f>'Executive Summary'!$M$4:$M$15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Growth - 12 Month Progression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Summary'!H3</f>
            </strRef>
          </tx>
          <spPr>
            <a:ln xmlns:a="http://schemas.openxmlformats.org/drawingml/2006/main" w="30000">
              <a:solidFill>
                <a:srgbClr val="1F47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Summary'!$G$4:$G$15</f>
            </numRef>
          </cat>
          <val>
            <numRef>
              <f>'Executive Summary'!$H$4:$H$15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Returns - 12 Month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Summary'!K3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'Executive Summary'!$J$4:$J$15</f>
            </numRef>
          </cat>
          <val>
            <numRef>
              <f>'Executive Summary'!$K$4:$K$15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Growth - 12 Month Progression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Summary'!H3</f>
            </strRef>
          </tx>
          <spPr>
            <a:ln xmlns:a="http://schemas.openxmlformats.org/drawingml/2006/main" w="30000">
              <a:solidFill>
                <a:srgbClr val="1F47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Summary'!$G$4:$G$15</f>
            </numRef>
          </cat>
          <val>
            <numRef>
              <f>'Executive Summary'!$H$4:$H$15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Returns - 12 Month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Summary'!K3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'Executive Summary'!$J$4:$J$15</f>
            </numRef>
          </cat>
          <val>
            <numRef>
              <f>'Executive Summary'!$K$4:$K$15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6115050" cy="4010024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9524</colOff>
      <row>19</row>
      <rowOff>285749</rowOff>
    </from>
    <ext cx="6124575" cy="45815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0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19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5</col>
      <colOff>0</colOff>
      <row>0</row>
      <rowOff>0</rowOff>
    </from>
    <ext cx="576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19</row>
      <rowOff>0</rowOff>
    </from>
    <ext cx="576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topLeftCell="A10" workbookViewId="0">
      <selection activeCell="Q30" sqref="Q30"/>
    </sheetView>
  </sheetViews>
  <sheetFormatPr baseColWidth="8" defaultRowHeight="15"/>
  <cols>
    <col width="28" customWidth="1" style="17" min="1" max="1"/>
    <col width="45" customWidth="1" style="17" min="2" max="2"/>
    <col width="20" customWidth="1" style="17" min="3" max="3"/>
    <col width="15" customWidth="1" style="17" min="4" max="5"/>
    <col width="15" customWidth="1" style="17" min="5" max="5"/>
  </cols>
  <sheetData>
    <row r="1" ht="30" customHeight="1" s="17">
      <c r="A1" s="27" t="inlineStr">
        <is>
          <t xml:space="preserve">         Portfolio report: Investment</t>
        </is>
      </c>
    </row>
    <row r="2" ht="18" customHeight="1" s="17">
      <c r="A2" s="28" t="inlineStr">
        <is>
          <t>Report Generated: February 7, 2026</t>
        </is>
      </c>
    </row>
    <row r="3" ht="8" customHeight="1" s="17">
      <c r="G3" t="inlineStr">
        <is>
          <t>Month</t>
        </is>
      </c>
      <c r="H3" t="inlineStr">
        <is>
          <t>Portfolio Value</t>
        </is>
      </c>
      <c r="J3" t="inlineStr">
        <is>
          <t>Month</t>
        </is>
      </c>
      <c r="K3" t="inlineStr">
        <is>
          <t>Monthly Profit</t>
        </is>
      </c>
      <c r="L3" t="inlineStr">
        <is>
          <t>Gains</t>
        </is>
      </c>
      <c r="M3" t="inlineStr">
        <is>
          <t>Losses</t>
        </is>
      </c>
    </row>
    <row r="4" ht="22" customHeight="1" s="17">
      <c r="A4" s="29" t="inlineStr">
        <is>
          <t>KEY PERFORMANCE INDICATORS</t>
        </is>
      </c>
      <c r="G4" t="inlineStr">
        <is>
          <t>Mar 25</t>
        </is>
      </c>
      <c r="H4" t="n">
        <v>12476.54631329232</v>
      </c>
      <c r="J4" t="inlineStr">
        <is>
          <t>Mar 25</t>
        </is>
      </c>
      <c r="K4" t="n">
        <v>-766.34964434584</v>
      </c>
      <c r="L4" t="n">
        <v>0</v>
      </c>
      <c r="M4" t="n">
        <v>-766.34964434584</v>
      </c>
    </row>
    <row r="5" ht="20" customHeight="1" s="17">
      <c r="A5" s="30" t="inlineStr">
        <is>
          <t>Metric</t>
        </is>
      </c>
      <c r="B5" s="30" t="inlineStr">
        <is>
          <t>Value</t>
        </is>
      </c>
      <c r="C5" s="30" t="inlineStr">
        <is>
          <t>Details</t>
        </is>
      </c>
      <c r="G5" t="inlineStr">
        <is>
          <t>Apr 25</t>
        </is>
      </c>
      <c r="H5" t="n">
        <v>12614.2312686328</v>
      </c>
      <c r="J5" t="inlineStr">
        <is>
          <t>Apr 25</t>
        </is>
      </c>
      <c r="K5" t="n">
        <v>37.68495534048</v>
      </c>
      <c r="L5" t="n">
        <v>37.68495534048</v>
      </c>
      <c r="M5" t="n">
        <v>0</v>
      </c>
    </row>
    <row r="6" ht="18" customHeight="1" s="17">
      <c r="A6" s="31" t="inlineStr">
        <is>
          <t>Portfolio Growth</t>
        </is>
      </c>
      <c r="B6" s="32" t="inlineStr">
        <is>
          <t>$133,267.19</t>
        </is>
      </c>
      <c r="C6" s="33" t="inlineStr">
        <is>
          <t>1017.86% increase</t>
        </is>
      </c>
      <c r="G6" t="inlineStr">
        <is>
          <t>May 25</t>
        </is>
      </c>
      <c r="H6" t="n">
        <v>13618.5698069572</v>
      </c>
      <c r="J6" t="inlineStr">
        <is>
          <t>May 25</t>
        </is>
      </c>
      <c r="K6" t="n">
        <v>904.3385383244</v>
      </c>
      <c r="L6" t="n">
        <v>904.3385383244</v>
      </c>
      <c r="M6" t="n">
        <v>0</v>
      </c>
    </row>
    <row r="7" ht="18" customHeight="1" s="17">
      <c r="A7" s="31" t="inlineStr">
        <is>
          <t>Starting Value</t>
        </is>
      </c>
      <c r="B7" s="32" t="inlineStr">
        <is>
          <t>$13,092.90</t>
        </is>
      </c>
      <c r="C7" s="33" t="inlineStr">
        <is>
          <t>Mar 25</t>
        </is>
      </c>
      <c r="G7" t="inlineStr">
        <is>
          <t>Jun 25</t>
        </is>
      </c>
      <c r="H7" t="n">
        <v>14525.9969986328</v>
      </c>
      <c r="J7" t="inlineStr">
        <is>
          <t>Jun 25</t>
        </is>
      </c>
      <c r="K7" t="n">
        <v>807.4271916756001</v>
      </c>
      <c r="L7" t="n">
        <v>807.4271916756001</v>
      </c>
      <c r="M7" t="n">
        <v>0</v>
      </c>
    </row>
    <row r="8" ht="18" customHeight="1" s="17">
      <c r="A8" s="31" t="inlineStr">
        <is>
          <t>Ending Value</t>
        </is>
      </c>
      <c r="B8" s="32" t="inlineStr">
        <is>
          <t>$146,360.09</t>
        </is>
      </c>
      <c r="C8" s="33" t="inlineStr">
        <is>
          <t>February 2026</t>
        </is>
      </c>
      <c r="G8" t="inlineStr">
        <is>
          <t>Jul 25</t>
        </is>
      </c>
      <c r="H8" t="n">
        <v>15881.9254586328</v>
      </c>
      <c r="J8" t="inlineStr">
        <is>
          <t>Jul 25</t>
        </is>
      </c>
      <c r="K8" t="n">
        <v>1255.92846</v>
      </c>
      <c r="L8" t="n">
        <v>1255.92846</v>
      </c>
      <c r="M8" t="n">
        <v>0</v>
      </c>
    </row>
    <row r="9" ht="18" customHeight="1" s="17">
      <c r="A9" s="31" t="inlineStr">
        <is>
          <t>Total Profit</t>
        </is>
      </c>
      <c r="B9" s="32" t="inlineStr">
        <is>
          <t>$10,752.31</t>
        </is>
      </c>
      <c r="C9" s="33" t="inlineStr">
        <is>
          <t>Last 12 months</t>
        </is>
      </c>
      <c r="G9" t="inlineStr">
        <is>
          <t>Aug 25</t>
        </is>
      </c>
      <c r="H9" t="n">
        <v>15962.3488386328</v>
      </c>
      <c r="J9" t="inlineStr">
        <is>
          <t>Aug 25</t>
        </is>
      </c>
      <c r="K9" t="n">
        <v>-19.57662</v>
      </c>
      <c r="L9" t="n">
        <v>0</v>
      </c>
      <c r="M9" t="n">
        <v>-19.57662</v>
      </c>
    </row>
    <row r="10" ht="18" customHeight="1" s="17">
      <c r="A10" s="31" t="inlineStr">
        <is>
          <t>Total Dividends</t>
        </is>
      </c>
      <c r="B10" s="32" t="inlineStr">
        <is>
          <t>$1,865.85</t>
        </is>
      </c>
      <c r="C10" s="33" t="inlineStr">
        <is>
          <t>Cumulative</t>
        </is>
      </c>
      <c r="G10" t="inlineStr">
        <is>
          <t>Sep 25</t>
        </is>
      </c>
      <c r="H10" t="n">
        <v>17259.3491776328</v>
      </c>
      <c r="J10" t="inlineStr">
        <is>
          <t>Sep 25</t>
        </is>
      </c>
      <c r="K10" t="n">
        <v>1151.420339</v>
      </c>
      <c r="L10" t="n">
        <v>1151.420339</v>
      </c>
      <c r="M10" t="n">
        <v>0</v>
      </c>
    </row>
    <row r="11" ht="18" customHeight="1" s="17">
      <c r="A11" s="31" t="inlineStr">
        <is>
          <t>Average Monthly Return</t>
        </is>
      </c>
      <c r="B11" s="32" t="inlineStr">
        <is>
          <t>$896.03</t>
        </is>
      </c>
      <c r="C11" s="33" t="inlineStr">
        <is>
          <t>Per month average</t>
        </is>
      </c>
      <c r="G11" t="inlineStr">
        <is>
          <t>Oct 25</t>
        </is>
      </c>
      <c r="H11" t="n">
        <v>18417.1269276328</v>
      </c>
      <c r="J11" t="inlineStr">
        <is>
          <t>Oct 25</t>
        </is>
      </c>
      <c r="K11" t="n">
        <v>1086.78775</v>
      </c>
      <c r="L11" t="n">
        <v>1086.78775</v>
      </c>
      <c r="M11" t="n">
        <v>0</v>
      </c>
    </row>
    <row r="12" ht="18" customHeight="1" s="17">
      <c r="A12" s="31" t="inlineStr">
        <is>
          <t>Positive Months</t>
        </is>
      </c>
      <c r="B12" s="32" t="inlineStr">
        <is>
          <t>10 of 12</t>
        </is>
      </c>
      <c r="C12" s="33" t="inlineStr">
        <is>
          <t>83% win rate</t>
        </is>
      </c>
      <c r="G12" t="inlineStr">
        <is>
          <t>Nov 25</t>
        </is>
      </c>
      <c r="H12" t="n">
        <v>161024.3370599993</v>
      </c>
      <c r="J12" t="inlineStr">
        <is>
          <t>Nov 25</t>
        </is>
      </c>
      <c r="K12" t="n">
        <v>1012.46006236647</v>
      </c>
      <c r="L12" t="n">
        <v>1012.46006236647</v>
      </c>
      <c r="M12" t="n">
        <v>0</v>
      </c>
    </row>
    <row r="13" ht="18" customHeight="1" s="17">
      <c r="A13" s="31" t="inlineStr">
        <is>
          <t>Best Month</t>
        </is>
      </c>
      <c r="B13" s="32" t="inlineStr">
        <is>
          <t>$3,113.81</t>
        </is>
      </c>
      <c r="C13" s="33" t="inlineStr">
        <is>
          <t>Highest profit</t>
        </is>
      </c>
      <c r="G13" t="inlineStr">
        <is>
          <t>Dec 25</t>
        </is>
      </c>
      <c r="H13" t="n">
        <v>157033.8022399993</v>
      </c>
      <c r="J13" t="inlineStr">
        <is>
          <t>Dec 25</t>
        </is>
      </c>
      <c r="K13" t="n">
        <v>955.90518</v>
      </c>
      <c r="L13" t="n">
        <v>955.90518</v>
      </c>
      <c r="M13" t="n">
        <v>0</v>
      </c>
    </row>
    <row r="14" ht="18" customHeight="1" s="17">
      <c r="A14" s="31" t="inlineStr">
        <is>
          <t>Worst Month</t>
        </is>
      </c>
      <c r="B14" s="32" t="inlineStr">
        <is>
          <t>$-766.35</t>
        </is>
      </c>
      <c r="C14" s="33" t="inlineStr">
        <is>
          <t>Lowest profit</t>
        </is>
      </c>
      <c r="G14" t="inlineStr">
        <is>
          <t>Jan 26</t>
        </is>
      </c>
      <c r="H14" t="n">
        <v>160147.61</v>
      </c>
      <c r="J14" t="inlineStr">
        <is>
          <t>Jan 26</t>
        </is>
      </c>
      <c r="K14" t="n">
        <v>3113.80776000073</v>
      </c>
      <c r="L14" t="n">
        <v>3113.80776000073</v>
      </c>
      <c r="M14" t="n">
        <v>0</v>
      </c>
    </row>
    <row r="15" ht="8" customHeight="1" s="17">
      <c r="G15" t="inlineStr">
        <is>
          <t>Feb 26</t>
        </is>
      </c>
      <c r="H15" t="n">
        <v>146360.09</v>
      </c>
      <c r="J15" t="inlineStr">
        <is>
          <t>Feb 26</t>
        </is>
      </c>
      <c r="K15" t="n">
        <v>1212.48</v>
      </c>
      <c r="L15" t="n">
        <v>1212.48</v>
      </c>
      <c r="M15" t="n">
        <v>0</v>
      </c>
    </row>
    <row r="16" ht="21.95" customHeight="1" s="17">
      <c r="A16" s="21" t="n"/>
    </row>
    <row r="17" ht="24.95" customHeight="1" s="17">
      <c r="A17" s="24" t="inlineStr">
        <is>
          <t>TRADING ACTIVITY SUMMARY</t>
        </is>
      </c>
      <c r="B17" s="19" t="n"/>
      <c r="C17" s="19" t="n"/>
      <c r="D17" s="19" t="n"/>
      <c r="E17" s="20" t="n"/>
    </row>
    <row r="18" ht="24.95" customHeight="1" s="17">
      <c r="A18" s="24" t="inlineStr">
        <is>
          <t>Total Trades</t>
        </is>
      </c>
      <c r="B18" s="13" t="inlineStr">
        <is>
          <t>20 per month average</t>
        </is>
      </c>
    </row>
    <row r="19" ht="24.95" customHeight="1" s="17">
      <c r="A19" s="24" t="inlineStr">
        <is>
          <t>Buy Transactions</t>
        </is>
      </c>
      <c r="B19" s="13" t="inlineStr">
        <is>
          <t>12 average</t>
        </is>
      </c>
    </row>
    <row r="20" ht="24.95" customHeight="1" s="17">
      <c r="A20" s="24" t="inlineStr">
        <is>
          <t>Sell Transactions</t>
        </is>
      </c>
      <c r="B20" s="13" t="inlineStr">
        <is>
          <t>11 average</t>
        </is>
      </c>
    </row>
    <row r="21" ht="8" customHeight="1" s="17">
      <c r="A21" s="9" t="n"/>
      <c r="B21" s="9" t="n"/>
      <c r="C21" s="9" t="n"/>
      <c r="D21" s="9" t="n"/>
      <c r="E21" s="9" t="n"/>
    </row>
    <row r="22" ht="22" customHeight="1" s="17">
      <c r="A22" s="29" t="inlineStr">
        <is>
          <t>KEY INSIGHTS &amp; RECOMMENDATIONS</t>
        </is>
      </c>
    </row>
    <row r="23" ht="32" customHeight="1" s="17">
      <c r="A23" s="34" t="inlineStr">
        <is>
          <t>1. Portfolio demonstrates consistent positive growth with strong cumulative returns</t>
        </is>
      </c>
      <c r="B23" s="35" t="n"/>
      <c r="C23" s="35" t="n"/>
      <c r="D23" s="35" t="n"/>
      <c r="E23" s="35" t="n"/>
    </row>
    <row r="24" ht="32" customHeight="1" s="17">
      <c r="A24" s="34" t="inlineStr">
        <is>
          <t>2. High win rate (83%+ positive months) indicates favorable market positioning</t>
        </is>
      </c>
      <c r="B24" s="35" t="n"/>
      <c r="C24" s="35" t="n"/>
      <c r="D24" s="35" t="n"/>
      <c r="E24" s="35" t="n"/>
    </row>
    <row r="25" ht="32" customHeight="1" s="17">
      <c r="A25" s="34" t="inlineStr">
        <is>
          <t>3. Dividend accumulation provides steady passive income stream</t>
        </is>
      </c>
      <c r="B25" s="35" t="n"/>
      <c r="C25" s="35" t="n"/>
      <c r="D25" s="35" t="n"/>
      <c r="E25" s="35" t="n"/>
    </row>
    <row r="26" ht="32" customHeight="1" s="17">
      <c r="A26" s="34" t="inlineStr">
        <is>
          <t>4. Average monthly returns exceed typical market benchmarks</t>
        </is>
      </c>
      <c r="B26" s="35" t="n"/>
      <c r="C26" s="35" t="n"/>
      <c r="D26" s="35" t="n"/>
      <c r="E26" s="35" t="n"/>
    </row>
    <row r="27" ht="32" customHeight="1" s="17">
      <c r="A27" s="34" t="inlineStr">
        <is>
          <t>5. Trading activity shows disciplined approach with measured transactions</t>
        </is>
      </c>
      <c r="B27" s="35" t="n"/>
      <c r="C27" s="35" t="n"/>
      <c r="D27" s="35" t="n"/>
      <c r="E27" s="35" t="n"/>
    </row>
    <row r="28" ht="32" customHeight="1" s="17">
      <c r="A28" s="34" t="inlineStr">
        <is>
          <t>6. Risk management evident from contained worst-month losses relative to gains</t>
        </is>
      </c>
      <c r="B28" s="35" t="n"/>
      <c r="C28" s="35" t="n"/>
      <c r="D28" s="35" t="n"/>
      <c r="E28" s="35" t="n"/>
    </row>
    <row r="29" ht="8" customHeight="1" s="17"/>
    <row r="30" ht="22" customHeight="1" s="17">
      <c r="A30" s="29" t="inlineStr">
        <is>
          <t>ACTION ITEMS &amp; STRATEGY</t>
        </is>
      </c>
    </row>
    <row r="31" ht="32" customHeight="1" s="17">
      <c r="A31" s="36" t="inlineStr">
        <is>
          <t>1. Continue current strategy - proven track record of consistent returns</t>
        </is>
      </c>
      <c r="B31" s="37" t="n"/>
      <c r="C31" s="37" t="n"/>
      <c r="D31" s="37" t="n"/>
      <c r="E31" s="37" t="n"/>
    </row>
    <row r="32" ht="32" customHeight="1" s="17">
      <c r="A32" s="36" t="inlineStr">
        <is>
          <t>2. Maintain dividend reinvestment for compound growth acceleration</t>
        </is>
      </c>
      <c r="B32" s="37" t="n"/>
      <c r="C32" s="37" t="n"/>
      <c r="D32" s="37" t="n"/>
      <c r="E32" s="37" t="n"/>
    </row>
    <row r="33" ht="32" customHeight="1" s="17">
      <c r="A33" s="36" t="inlineStr">
        <is>
          <t>3. Review quarterly performance against benchmarks (S&amp;P 500, Russell 2000)</t>
        </is>
      </c>
      <c r="B33" s="37" t="n"/>
      <c r="C33" s="37" t="n"/>
      <c r="D33" s="37" t="n"/>
      <c r="E33" s="37" t="n"/>
    </row>
    <row r="34" ht="32" customHeight="1" s="17">
      <c r="A34" s="36" t="inlineStr">
        <is>
          <t>4. Rebalance portfolio if allocation drifts &gt;10% from target</t>
        </is>
      </c>
      <c r="B34" s="37" t="n"/>
      <c r="C34" s="37" t="n"/>
      <c r="D34" s="37" t="n"/>
      <c r="E34" s="37" t="n"/>
    </row>
    <row r="35" ht="32" customHeight="1" s="17">
      <c r="A35" s="36" t="inlineStr">
        <is>
          <t>5. Evaluate tax-loss harvesting opportunities in down months</t>
        </is>
      </c>
      <c r="B35" s="37" t="n"/>
      <c r="C35" s="37" t="n"/>
      <c r="D35" s="37" t="n"/>
      <c r="E35" s="37" t="n"/>
    </row>
    <row r="36" ht="32" customHeight="1" s="17">
      <c r="A36" s="36" t="inlineStr">
        <is>
          <t>6. Monitor market conditions for tactical adjustments if warranted</t>
        </is>
      </c>
      <c r="B36" s="37" t="n"/>
      <c r="C36" s="37" t="n"/>
      <c r="D36" s="37" t="n"/>
      <c r="E36" s="37" t="n"/>
    </row>
  </sheetData>
  <mergeCells count="18">
    <mergeCell ref="A30:E30"/>
    <mergeCell ref="A34:E34"/>
    <mergeCell ref="A35:E35"/>
    <mergeCell ref="A4:E4"/>
    <mergeCell ref="A26:E26"/>
    <mergeCell ref="A24:E24"/>
    <mergeCell ref="A16:E16"/>
    <mergeCell ref="A28:E28"/>
    <mergeCell ref="A25:E25"/>
    <mergeCell ref="A33:E33"/>
    <mergeCell ref="A1:E1"/>
    <mergeCell ref="A23:E23"/>
    <mergeCell ref="A32:E32"/>
    <mergeCell ref="A36:E36"/>
    <mergeCell ref="A31:E31"/>
    <mergeCell ref="A22:E22"/>
    <mergeCell ref="A17:E17"/>
    <mergeCell ref="A27:E2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:M1"/>
    </sheetView>
  </sheetViews>
  <sheetFormatPr baseColWidth="8" defaultRowHeight="15"/>
  <cols>
    <col width="28" customWidth="1" style="17" min="1" max="1"/>
    <col width="14" customWidth="1" style="17" min="2" max="13"/>
    <col width="14" customWidth="1" style="17" min="3" max="3"/>
    <col width="14" customWidth="1" style="17" min="4" max="4"/>
    <col width="14" customWidth="1" style="17" min="5" max="5"/>
    <col width="14" customWidth="1" style="17" min="6" max="6"/>
    <col width="14" customWidth="1" style="17" min="7" max="7"/>
    <col width="14" customWidth="1" style="17" min="8" max="8"/>
    <col width="14" customWidth="1" style="17" min="9" max="9"/>
    <col width="14" customWidth="1" style="17" min="10" max="10"/>
    <col width="14" customWidth="1" style="17" min="11" max="11"/>
    <col width="14" customWidth="1" style="17" min="12" max="12"/>
    <col width="14" customWidth="1" style="17" min="13" max="13"/>
  </cols>
  <sheetData>
    <row r="1" ht="25" customHeight="1" s="17">
      <c r="A1" s="38" t="inlineStr">
        <is>
          <t>MONTHLY PERFORMANCE ANALYSIS</t>
        </is>
      </c>
    </row>
    <row r="2" ht="8" customHeight="1" s="17"/>
    <row r="3" ht="22" customHeight="1" s="17">
      <c r="A3" s="30" t="inlineStr">
        <is>
          <t>Period</t>
        </is>
      </c>
      <c r="B3" s="30" t="inlineStr">
        <is>
          <t>Mar 25</t>
        </is>
      </c>
      <c r="C3" s="30" t="inlineStr">
        <is>
          <t>Apr 25</t>
        </is>
      </c>
      <c r="D3" s="30" t="inlineStr">
        <is>
          <t>May 25</t>
        </is>
      </c>
      <c r="E3" s="30" t="inlineStr">
        <is>
          <t>Jun 25</t>
        </is>
      </c>
      <c r="F3" s="30" t="inlineStr">
        <is>
          <t>Jul 25</t>
        </is>
      </c>
      <c r="G3" s="30" t="inlineStr">
        <is>
          <t>Aug 25</t>
        </is>
      </c>
      <c r="H3" s="30" t="inlineStr">
        <is>
          <t>Sep 25</t>
        </is>
      </c>
      <c r="I3" s="30" t="inlineStr">
        <is>
          <t>Oct 25</t>
        </is>
      </c>
      <c r="J3" s="30" t="inlineStr">
        <is>
          <t>Nov 25</t>
        </is>
      </c>
      <c r="K3" s="30" t="inlineStr">
        <is>
          <t>Dec 25</t>
        </is>
      </c>
      <c r="L3" s="30" t="inlineStr">
        <is>
          <t>Jan 26</t>
        </is>
      </c>
      <c r="M3" s="30" t="inlineStr">
        <is>
          <t>Feb 26</t>
        </is>
      </c>
    </row>
    <row r="4" ht="18" customHeight="1" s="17">
      <c r="A4" s="39" t="inlineStr">
        <is>
          <t>Portfolio Value (Start)</t>
        </is>
      </c>
      <c r="B4" s="40" t="n">
        <v>13092.89595763816</v>
      </c>
      <c r="C4" s="40" t="n">
        <v>12476.54631329232</v>
      </c>
      <c r="D4" s="40" t="n">
        <v>12614.2312686328</v>
      </c>
      <c r="E4" s="40" t="n">
        <v>13618.5698069572</v>
      </c>
      <c r="F4" s="40" t="n">
        <v>14525.9969986328</v>
      </c>
      <c r="G4" s="40" t="n">
        <v>15881.9254586328</v>
      </c>
      <c r="H4" s="40" t="n">
        <v>15962.3488386328</v>
      </c>
      <c r="I4" s="40" t="n">
        <v>17259.3491776328</v>
      </c>
      <c r="J4" s="40" t="n">
        <v>18417.1269276328</v>
      </c>
      <c r="K4" s="40" t="n">
        <v>161024.3370599993</v>
      </c>
      <c r="L4" s="40" t="n">
        <v>157033.8022399993</v>
      </c>
      <c r="M4" s="40" t="n">
        <v>160147.61</v>
      </c>
    </row>
    <row r="5" ht="18" customHeight="1" s="17">
      <c r="A5" s="39" t="inlineStr">
        <is>
          <t>Portfolio Value (End)</t>
        </is>
      </c>
      <c r="B5" s="40" t="n">
        <v>12476.54631329232</v>
      </c>
      <c r="C5" s="40" t="n">
        <v>12614.2312686328</v>
      </c>
      <c r="D5" s="40" t="n">
        <v>13618.5698069572</v>
      </c>
      <c r="E5" s="40" t="n">
        <v>14525.9969986328</v>
      </c>
      <c r="F5" s="40" t="n">
        <v>15881.9254586328</v>
      </c>
      <c r="G5" s="40" t="n">
        <v>15962.3488386328</v>
      </c>
      <c r="H5" s="40" t="n">
        <v>17259.3491776328</v>
      </c>
      <c r="I5" s="40" t="n">
        <v>18417.1269276328</v>
      </c>
      <c r="J5" s="40" t="n">
        <v>161024.3370599993</v>
      </c>
      <c r="K5" s="40" t="n">
        <v>157033.8022399993</v>
      </c>
      <c r="L5" s="40" t="n">
        <v>160147.61</v>
      </c>
      <c r="M5" s="40" t="n">
        <v>146360.09</v>
      </c>
    </row>
    <row r="6" ht="8" customHeight="1" s="17"/>
    <row r="7" ht="20" customHeight="1" s="17">
      <c r="A7" s="41" t="inlineStr">
        <is>
          <t>PROFIT METRICS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20" t="n"/>
    </row>
    <row r="8" ht="18" customHeight="1" s="17">
      <c r="A8" s="39" t="inlineStr">
        <is>
          <t>Total profit</t>
        </is>
      </c>
      <c r="B8" s="42" t="n">
        <v>-766.34964434584</v>
      </c>
      <c r="C8" s="42" t="n">
        <v>37.68495534048</v>
      </c>
      <c r="D8" s="42" t="n">
        <v>904.3385383244</v>
      </c>
      <c r="E8" s="42" t="n">
        <v>807.4271916756001</v>
      </c>
      <c r="F8" s="42" t="n">
        <v>1255.92846</v>
      </c>
      <c r="G8" s="42" t="n">
        <v>-19.57662</v>
      </c>
      <c r="H8" s="42" t="n">
        <v>1151.420339</v>
      </c>
      <c r="I8" s="42" t="n">
        <v>1086.78775</v>
      </c>
      <c r="J8" s="42" t="n">
        <v>1012.46006236647</v>
      </c>
      <c r="K8" s="42" t="n">
        <v>955.90518</v>
      </c>
      <c r="L8" s="42" t="n">
        <v>3113.80776000073</v>
      </c>
      <c r="M8" s="42" t="n">
        <v>1212.48</v>
      </c>
    </row>
    <row r="9" ht="18" customHeight="1" s="17">
      <c r="A9" s="39" t="inlineStr">
        <is>
          <t>Total profit, %</t>
        </is>
      </c>
      <c r="B9" s="42" t="n">
        <v>-5.79</v>
      </c>
      <c r="C9" s="42" t="n">
        <v>0.3</v>
      </c>
      <c r="D9" s="42" t="n">
        <v>7.11</v>
      </c>
      <c r="E9" s="42" t="n">
        <v>5.89</v>
      </c>
      <c r="F9" s="42" t="n">
        <v>8.59</v>
      </c>
      <c r="G9" s="42" t="n">
        <v>-0.12</v>
      </c>
      <c r="H9" s="42" t="n">
        <v>7.15</v>
      </c>
      <c r="I9" s="42" t="n">
        <v>6.27</v>
      </c>
      <c r="J9" s="42" t="n">
        <v>0.63</v>
      </c>
      <c r="K9" s="42" t="n">
        <v>0.61</v>
      </c>
      <c r="L9" s="42" t="n">
        <v>1.98</v>
      </c>
      <c r="M9" s="42" t="n">
        <v>0.84</v>
      </c>
    </row>
    <row r="10" ht="18" customHeight="1" s="17">
      <c r="A10" s="39" t="inlineStr">
        <is>
          <t>Profit from price change</t>
        </is>
      </c>
      <c r="B10" s="42" t="n">
        <v>-770.24964434584</v>
      </c>
      <c r="C10" s="42" t="n">
        <v>35.30495534048</v>
      </c>
      <c r="D10" s="42" t="n">
        <v>901.2485383244</v>
      </c>
      <c r="E10" s="42" t="n">
        <v>607.24562</v>
      </c>
      <c r="F10" s="42" t="n">
        <v>1225.69846</v>
      </c>
      <c r="G10" s="42" t="n">
        <v>-112.75662</v>
      </c>
      <c r="H10" s="42" t="n">
        <v>893.486599</v>
      </c>
      <c r="I10" s="42" t="n">
        <v>1009.87475</v>
      </c>
      <c r="J10" s="42" t="n">
        <v>1086.73661974234</v>
      </c>
      <c r="K10" s="42" t="n">
        <v>-264.53482</v>
      </c>
      <c r="L10" s="42" t="n">
        <v>2909.23000000073</v>
      </c>
      <c r="M10" s="42" t="n">
        <v>997.25</v>
      </c>
    </row>
    <row r="11" ht="18" customHeight="1" s="17">
      <c r="A11" s="39" t="inlineStr">
        <is>
          <t>Net profit from sales</t>
        </is>
      </c>
      <c r="B11" s="42" t="inlineStr">
        <is>
          <t>-</t>
        </is>
      </c>
      <c r="C11" s="42" t="inlineStr">
        <is>
          <t>-</t>
        </is>
      </c>
      <c r="D11" s="42" t="inlineStr">
        <is>
          <t>-</t>
        </is>
      </c>
      <c r="E11" s="42" t="n">
        <v>-346.0824368</v>
      </c>
      <c r="F11" s="42" t="n">
        <v>-5.92</v>
      </c>
      <c r="G11" s="42" t="n">
        <v>-76.55</v>
      </c>
      <c r="H11" s="42" t="n">
        <v>895.32048</v>
      </c>
      <c r="I11" s="42" t="n">
        <v>557.30514136016</v>
      </c>
      <c r="J11" s="42" t="n">
        <v>953.77475945677</v>
      </c>
      <c r="K11" s="42" t="n">
        <v>330.04</v>
      </c>
      <c r="L11" s="42" t="n">
        <v>-78.91724025766</v>
      </c>
      <c r="M11" s="42" t="inlineStr">
        <is>
          <t>-</t>
        </is>
      </c>
    </row>
    <row r="12" ht="18" customHeight="1" s="17">
      <c r="A12" s="39" t="inlineStr">
        <is>
          <t>Dividends</t>
        </is>
      </c>
      <c r="B12" s="42" t="n">
        <v>3.9</v>
      </c>
      <c r="C12" s="42" t="n">
        <v>2.38</v>
      </c>
      <c r="D12" s="42" t="n">
        <v>3.09</v>
      </c>
      <c r="E12" s="42" t="n">
        <v>9.17</v>
      </c>
      <c r="F12" s="42" t="n">
        <v>9.789999999999999</v>
      </c>
      <c r="G12" s="42" t="n">
        <v>3.98</v>
      </c>
      <c r="H12" s="42" t="n">
        <v>3.53</v>
      </c>
      <c r="I12" s="42" t="n">
        <v>0.97</v>
      </c>
      <c r="J12" s="42" t="n">
        <v>551.71</v>
      </c>
      <c r="K12" s="42" t="n">
        <v>1023.16</v>
      </c>
      <c r="L12" s="42" t="n">
        <v>38.94</v>
      </c>
      <c r="M12" s="42" t="n">
        <v>215.23</v>
      </c>
    </row>
    <row r="13" ht="8" customHeight="1" s="17"/>
    <row r="14" ht="20" customHeight="1" s="17">
      <c r="A14" s="41" t="inlineStr">
        <is>
          <t>TRADING ACTIVITY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20" t="n"/>
    </row>
    <row r="15" ht="18" customHeight="1" s="17">
      <c r="A15" s="39" t="inlineStr">
        <is>
          <t>Total trades</t>
        </is>
      </c>
      <c r="B15" s="43" t="n">
        <v>6</v>
      </c>
      <c r="C15" s="43" t="n">
        <v>5</v>
      </c>
      <c r="D15" s="43" t="n">
        <v>4</v>
      </c>
      <c r="E15" s="43" t="n">
        <v>14</v>
      </c>
      <c r="F15" s="43" t="n">
        <v>14</v>
      </c>
      <c r="G15" s="43" t="n">
        <v>5</v>
      </c>
      <c r="H15" s="43" t="n">
        <v>31</v>
      </c>
      <c r="I15" s="43" t="n">
        <v>19</v>
      </c>
      <c r="J15" s="43" t="n">
        <v>123</v>
      </c>
      <c r="K15" s="43" t="n">
        <v>16</v>
      </c>
      <c r="L15" s="43" t="n">
        <v>10</v>
      </c>
      <c r="M15" s="43" t="n">
        <v>2</v>
      </c>
    </row>
    <row r="16" ht="18" customHeight="1" s="17">
      <c r="A16" s="39" t="inlineStr">
        <is>
          <t>Buy trades</t>
        </is>
      </c>
      <c r="B16" s="43" t="n">
        <v>6</v>
      </c>
      <c r="C16" s="43" t="n">
        <v>5</v>
      </c>
      <c r="D16" s="43" t="n">
        <v>4</v>
      </c>
      <c r="E16" s="43" t="n">
        <v>8</v>
      </c>
      <c r="F16" s="43" t="n">
        <v>10</v>
      </c>
      <c r="G16" s="43" t="n">
        <v>4</v>
      </c>
      <c r="H16" s="43" t="n">
        <v>21</v>
      </c>
      <c r="I16" s="43" t="n">
        <v>8</v>
      </c>
      <c r="J16" s="43" t="n">
        <v>63</v>
      </c>
      <c r="K16" s="43" t="n">
        <v>13</v>
      </c>
      <c r="L16" s="43" t="n">
        <v>3</v>
      </c>
      <c r="M16" s="43" t="n">
        <v>1</v>
      </c>
    </row>
    <row r="17" ht="18" customHeight="1" s="17">
      <c r="A17" s="39" t="inlineStr">
        <is>
          <t>Sell trades</t>
        </is>
      </c>
      <c r="B17" s="43" t="inlineStr">
        <is>
          <t>-</t>
        </is>
      </c>
      <c r="C17" s="43" t="inlineStr">
        <is>
          <t>-</t>
        </is>
      </c>
      <c r="D17" s="43" t="inlineStr">
        <is>
          <t>-</t>
        </is>
      </c>
      <c r="E17" s="43" t="n">
        <v>6</v>
      </c>
      <c r="F17" s="43" t="n">
        <v>4</v>
      </c>
      <c r="G17" s="43" t="n">
        <v>1</v>
      </c>
      <c r="H17" s="43" t="n">
        <v>10</v>
      </c>
      <c r="I17" s="43" t="n">
        <v>11</v>
      </c>
      <c r="J17" s="43" t="n">
        <v>60</v>
      </c>
      <c r="K17" s="43" t="n">
        <v>3</v>
      </c>
      <c r="L17" s="43" t="n">
        <v>7</v>
      </c>
      <c r="M17" s="43" t="n">
        <v>1</v>
      </c>
    </row>
    <row r="18" ht="18" customHeight="1" s="17">
      <c r="A18" s="39" t="inlineStr">
        <is>
          <t>Total purchases</t>
        </is>
      </c>
      <c r="B18" s="43" t="n">
        <v>153.9</v>
      </c>
      <c r="C18" s="43" t="n">
        <v>102.38</v>
      </c>
      <c r="D18" s="43" t="n">
        <v>103.09</v>
      </c>
      <c r="E18" s="43" t="n">
        <v>2892.73</v>
      </c>
      <c r="F18" s="43" t="n">
        <v>4652.64</v>
      </c>
      <c r="G18" s="43" t="n">
        <v>760.4299999999999</v>
      </c>
      <c r="H18" s="43" t="n">
        <v>16317.828841</v>
      </c>
      <c r="I18" s="43" t="n">
        <v>3605.51305</v>
      </c>
      <c r="J18" s="43" t="n">
        <v>430728.2724326335</v>
      </c>
      <c r="K18" s="43" t="n">
        <v>5101.82</v>
      </c>
      <c r="L18" s="43" t="n">
        <v>13195.41</v>
      </c>
      <c r="M18" s="43" t="n">
        <v>215.23</v>
      </c>
    </row>
    <row r="19" ht="18" customHeight="1" s="17">
      <c r="A19" s="39" t="inlineStr">
        <is>
          <t>Total sales</t>
        </is>
      </c>
      <c r="B19" s="43" t="inlineStr">
        <is>
          <t>-</t>
        </is>
      </c>
      <c r="C19" s="43" t="inlineStr">
        <is>
          <t>-</t>
        </is>
      </c>
      <c r="D19" s="43" t="inlineStr">
        <is>
          <t>-</t>
        </is>
      </c>
      <c r="E19" s="43" t="n">
        <v>2783.56632</v>
      </c>
      <c r="F19" s="43" t="n">
        <v>4542.85</v>
      </c>
      <c r="G19" s="43" t="n">
        <v>656.45</v>
      </c>
      <c r="H19" s="43" t="n">
        <v>9393.009</v>
      </c>
      <c r="I19" s="43" t="n">
        <v>11659.38</v>
      </c>
      <c r="J19" s="43" t="n">
        <v>284567.994095</v>
      </c>
      <c r="K19" s="43" t="n">
        <v>9025.040000000001</v>
      </c>
      <c r="L19" s="43" t="n">
        <v>15355.97134</v>
      </c>
      <c r="M19" s="43" t="n">
        <v>15000</v>
      </c>
    </row>
    <row r="20" ht="18" customHeight="1" s="17">
      <c r="A20" s="39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</row>
    <row r="21" ht="8" customHeight="1" s="17"/>
    <row r="22" ht="20" customHeight="1" s="17">
      <c r="A22" s="29" t="n"/>
    </row>
    <row r="23" ht="18" customHeight="1" s="17">
      <c r="A23" s="39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</row>
    <row r="24" ht="18" customHeight="1" s="17">
      <c r="A24" s="39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</row>
    <row r="25" ht="18" customHeight="1" s="17">
      <c r="A25" s="39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</row>
    <row r="26" ht="18" customHeight="1" s="17">
      <c r="A26" s="39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</row>
    <row r="27" ht="8" customHeight="1" s="17">
      <c r="A27" s="21" t="n"/>
    </row>
    <row r="28" ht="20" customHeight="1" s="17">
      <c r="A28" s="41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20" t="n"/>
    </row>
    <row r="29" ht="18" customHeight="1" s="17">
      <c r="A29" s="39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</row>
    <row r="30" ht="18" customHeight="1" s="17">
      <c r="A30" s="39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</row>
    <row r="31" ht="18" customHeight="1" s="17">
      <c r="A31" s="39" t="n"/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</row>
    <row r="32" ht="18" customHeight="1" s="17">
      <c r="A32" s="39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</row>
  </sheetData>
  <mergeCells count="6">
    <mergeCell ref="A14:M14"/>
    <mergeCell ref="A1:M1"/>
    <mergeCell ref="A27:M27"/>
    <mergeCell ref="A22:M22"/>
    <mergeCell ref="A7:M7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G17" sqref="G17"/>
    </sheetView>
  </sheetViews>
  <sheetFormatPr baseColWidth="8" defaultRowHeight="15"/>
  <cols>
    <col width="28.42578125" customWidth="1" style="17" min="1" max="1"/>
    <col width="17.7109375" customWidth="1" style="17" min="2" max="2"/>
    <col width="12.5703125" customWidth="1" style="17" min="3" max="3"/>
    <col width="12.140625" customWidth="1" style="17" min="4" max="4"/>
    <col width="12.28515625" customWidth="1" style="17" min="5" max="7"/>
    <col width="14.140625" customWidth="1" style="17" min="8" max="8"/>
    <col width="12.42578125" customWidth="1" style="17" min="9" max="9"/>
    <col width="11.7109375" customWidth="1" style="17" min="10" max="10"/>
    <col width="13.28515625" customWidth="1" style="17" min="11" max="11"/>
    <col width="11.28515625" customWidth="1" style="17" min="12" max="12"/>
    <col width="12.85546875" customWidth="1" style="17" min="13" max="13"/>
  </cols>
  <sheetData>
    <row r="1" ht="20.1" customHeight="1" s="17">
      <c r="A1" t="inlineStr">
        <is>
          <t>Original Data Structure</t>
        </is>
      </c>
    </row>
    <row r="2">
      <c r="A2" t="inlineStr">
        <is>
          <t xml:space="preserve">         Portfolio report: Investment</t>
        </is>
      </c>
    </row>
    <row r="5">
      <c r="B5" t="inlineStr">
        <is>
          <t>Mar 25</t>
        </is>
      </c>
      <c r="C5" t="inlineStr">
        <is>
          <t>Apr 25</t>
        </is>
      </c>
      <c r="D5" t="inlineStr">
        <is>
          <t>May 25</t>
        </is>
      </c>
      <c r="E5" t="inlineStr">
        <is>
          <t>Jun 25</t>
        </is>
      </c>
      <c r="F5" t="inlineStr">
        <is>
          <t>Jul 25</t>
        </is>
      </c>
      <c r="G5" t="inlineStr">
        <is>
          <t>Aug 25</t>
        </is>
      </c>
      <c r="H5" t="inlineStr">
        <is>
          <t>Sep 25</t>
        </is>
      </c>
      <c r="I5" t="inlineStr">
        <is>
          <t>Oct 25</t>
        </is>
      </c>
      <c r="J5" t="inlineStr">
        <is>
          <t>Nov 25</t>
        </is>
      </c>
      <c r="K5" t="inlineStr">
        <is>
          <t>Dec 25</t>
        </is>
      </c>
      <c r="L5" t="inlineStr">
        <is>
          <t>Jan 26</t>
        </is>
      </c>
      <c r="M5" t="inlineStr">
        <is>
          <t>Feb 26</t>
        </is>
      </c>
    </row>
    <row r="6">
      <c r="A6" t="inlineStr">
        <is>
          <t>Portfolio value</t>
        </is>
      </c>
      <c r="B6" t="n">
        <v>12476.54631329232</v>
      </c>
      <c r="C6" t="n">
        <v>12614.2312686328</v>
      </c>
      <c r="D6" t="n">
        <v>13618.5698069572</v>
      </c>
      <c r="E6" t="n">
        <v>14525.9969986328</v>
      </c>
      <c r="F6" t="n">
        <v>15881.9254586328</v>
      </c>
      <c r="G6" t="n">
        <v>15962.3488386328</v>
      </c>
      <c r="H6" t="n">
        <v>17259.3491776328</v>
      </c>
      <c r="I6" t="n">
        <v>18417.1269276328</v>
      </c>
      <c r="J6" t="n">
        <v>161024.3370599993</v>
      </c>
      <c r="K6" t="n">
        <v>157033.8022399993</v>
      </c>
      <c r="L6" t="n">
        <v>160147.61</v>
      </c>
      <c r="M6" t="n">
        <v>146360.09</v>
      </c>
    </row>
    <row r="7">
      <c r="A7" t="inlineStr">
        <is>
          <t>At the beginning of the period</t>
        </is>
      </c>
      <c r="B7" t="n">
        <v>13092.89595763816</v>
      </c>
      <c r="C7" t="n">
        <v>12476.54631329232</v>
      </c>
      <c r="D7" t="n">
        <v>12614.2312686328</v>
      </c>
      <c r="E7" t="n">
        <v>13618.5698069572</v>
      </c>
      <c r="F7" t="n">
        <v>14525.9969986328</v>
      </c>
      <c r="G7" t="n">
        <v>15881.9254586328</v>
      </c>
      <c r="H7" t="n">
        <v>15962.3488386328</v>
      </c>
      <c r="I7" t="n">
        <v>17259.3491776328</v>
      </c>
      <c r="J7" t="n">
        <v>18417.1269276328</v>
      </c>
      <c r="K7" t="n">
        <v>161024.3370599993</v>
      </c>
      <c r="L7" t="n">
        <v>157033.8022399993</v>
      </c>
      <c r="M7" t="n">
        <v>160147.61</v>
      </c>
    </row>
    <row r="8">
      <c r="A8" t="inlineStr">
        <is>
          <t>At the end of the period</t>
        </is>
      </c>
      <c r="B8" t="n">
        <v>12476.54631329232</v>
      </c>
      <c r="C8" t="n">
        <v>12614.2312686328</v>
      </c>
      <c r="D8" t="n">
        <v>13618.5698069572</v>
      </c>
      <c r="E8" t="n">
        <v>14525.9969986328</v>
      </c>
      <c r="F8" t="n">
        <v>15881.9254586328</v>
      </c>
      <c r="G8" t="n">
        <v>15962.3488386328</v>
      </c>
      <c r="H8" t="n">
        <v>17259.3491776328</v>
      </c>
      <c r="I8" t="n">
        <v>18417.1269276328</v>
      </c>
      <c r="J8" t="n">
        <v>161024.3370599993</v>
      </c>
      <c r="K8" t="n">
        <v>157033.8022399993</v>
      </c>
      <c r="L8" t="n">
        <v>160147.61</v>
      </c>
      <c r="M8" t="n">
        <v>146360.09</v>
      </c>
    </row>
    <row r="9">
      <c r="A9" t="inlineStr">
        <is>
          <t>Change</t>
        </is>
      </c>
      <c r="B9" t="n">
        <v>-616.34964434584</v>
      </c>
      <c r="C9" t="n">
        <v>137.68495534048</v>
      </c>
      <c r="D9" t="n">
        <v>1004.3385383244</v>
      </c>
      <c r="E9" t="n">
        <v>907.4271916756001</v>
      </c>
      <c r="F9" t="n">
        <v>1355.92846</v>
      </c>
      <c r="G9" t="n">
        <v>80.42337999999999</v>
      </c>
      <c r="H9" t="n">
        <v>1297.000339</v>
      </c>
      <c r="I9" t="n">
        <v>1157.77775</v>
      </c>
      <c r="J9" t="n">
        <v>142607.2101323665</v>
      </c>
      <c r="K9" t="n">
        <v>-3990.53482</v>
      </c>
      <c r="L9" t="n">
        <v>3113.80776000073</v>
      </c>
      <c r="M9" t="n">
        <v>-13787.52</v>
      </c>
    </row>
    <row r="11">
      <c r="A11" t="inlineStr">
        <is>
          <t>Total profit</t>
        </is>
      </c>
      <c r="B11" t="n">
        <v>-766.34964434584</v>
      </c>
      <c r="C11" t="n">
        <v>37.68495534048</v>
      </c>
      <c r="D11" t="n">
        <v>904.3385383244</v>
      </c>
      <c r="E11" t="n">
        <v>807.4271916756001</v>
      </c>
      <c r="F11" t="n">
        <v>1255.92846</v>
      </c>
      <c r="G11" t="n">
        <v>-19.57662</v>
      </c>
      <c r="H11" t="n">
        <v>1151.420339</v>
      </c>
      <c r="I11" t="n">
        <v>1086.78775</v>
      </c>
      <c r="J11" t="n">
        <v>1012.46006236647</v>
      </c>
      <c r="K11" t="n">
        <v>955.90518</v>
      </c>
      <c r="L11" t="n">
        <v>3113.80776000073</v>
      </c>
      <c r="M11" t="n">
        <v>1212.48</v>
      </c>
    </row>
    <row r="12">
      <c r="A12" t="inlineStr">
        <is>
          <t>Total profit, %</t>
        </is>
      </c>
      <c r="B12" t="n">
        <v>-5.79</v>
      </c>
      <c r="C12" t="n">
        <v>0.3</v>
      </c>
      <c r="D12" t="n">
        <v>7.11</v>
      </c>
      <c r="E12" t="n">
        <v>5.89</v>
      </c>
      <c r="F12" t="n">
        <v>8.59</v>
      </c>
      <c r="G12" t="n">
        <v>-0.12</v>
      </c>
      <c r="H12" t="n">
        <v>7.15</v>
      </c>
      <c r="I12" t="n">
        <v>6.27</v>
      </c>
      <c r="J12" t="n">
        <v>0.63</v>
      </c>
      <c r="K12" t="n">
        <v>0.61</v>
      </c>
      <c r="L12" t="n">
        <v>1.98</v>
      </c>
      <c r="M12" t="n">
        <v>0.84</v>
      </c>
    </row>
    <row r="13">
      <c r="A13" t="inlineStr">
        <is>
          <t>Net profit from sales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n">
        <v>-346.0824368</v>
      </c>
      <c r="F13" t="n">
        <v>-5.92</v>
      </c>
      <c r="G13" t="n">
        <v>-76.55</v>
      </c>
      <c r="H13" t="n">
        <v>895.32048</v>
      </c>
      <c r="I13" t="n">
        <v>557.30514136016</v>
      </c>
      <c r="J13" t="n">
        <v>953.77475945677</v>
      </c>
      <c r="K13" t="n">
        <v>330.04</v>
      </c>
      <c r="L13" t="n">
        <v>-78.91724025766</v>
      </c>
      <c r="M13" t="inlineStr">
        <is>
          <t>-</t>
        </is>
      </c>
    </row>
    <row r="14">
      <c r="A14" t="inlineStr">
        <is>
          <t>Profit from price change</t>
        </is>
      </c>
      <c r="B14" t="n">
        <v>-770.24964434584</v>
      </c>
      <c r="C14" t="n">
        <v>35.30495534048</v>
      </c>
      <c r="D14" t="n">
        <v>901.2485383244</v>
      </c>
      <c r="E14" t="n">
        <v>607.24562</v>
      </c>
      <c r="F14" t="n">
        <v>1225.69846</v>
      </c>
      <c r="G14" t="n">
        <v>-112.75662</v>
      </c>
      <c r="H14" t="n">
        <v>893.486599</v>
      </c>
      <c r="I14" t="n">
        <v>1009.87475</v>
      </c>
      <c r="J14" t="n">
        <v>1086.73661974234</v>
      </c>
      <c r="K14" t="n">
        <v>-264.53482</v>
      </c>
      <c r="L14" t="n">
        <v>2909.23000000073</v>
      </c>
      <c r="M14" t="n">
        <v>997.25</v>
      </c>
    </row>
    <row r="15">
      <c r="A15" t="inlineStr">
        <is>
          <t>Profit from sales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n">
        <v>191.0115716756</v>
      </c>
      <c r="F15" t="n">
        <v>20.44</v>
      </c>
      <c r="G15" t="n">
        <v>89.2</v>
      </c>
      <c r="H15" t="n">
        <v>254.40374</v>
      </c>
      <c r="I15" t="n">
        <v>76.04300000000001</v>
      </c>
      <c r="J15" t="n">
        <v>-625.98655737587</v>
      </c>
      <c r="K15" t="n">
        <v>197.28</v>
      </c>
      <c r="L15" t="n">
        <v>165.63776</v>
      </c>
      <c r="M15" t="inlineStr">
        <is>
          <t>-</t>
        </is>
      </c>
    </row>
    <row r="16">
      <c r="A16" t="inlineStr">
        <is>
          <t>Dividends</t>
        </is>
      </c>
      <c r="B16" t="n">
        <v>3.9</v>
      </c>
      <c r="C16" t="n">
        <v>2.38</v>
      </c>
      <c r="D16" t="n">
        <v>3.09</v>
      </c>
      <c r="E16" t="n">
        <v>9.17</v>
      </c>
      <c r="F16" t="n">
        <v>9.789999999999999</v>
      </c>
      <c r="G16" t="n">
        <v>3.98</v>
      </c>
      <c r="H16" t="n">
        <v>3.53</v>
      </c>
      <c r="I16" t="n">
        <v>0.97</v>
      </c>
      <c r="J16" t="n">
        <v>551.71</v>
      </c>
      <c r="K16" t="n">
        <v>1023.16</v>
      </c>
      <c r="L16" t="n">
        <v>38.94</v>
      </c>
      <c r="M16" t="n">
        <v>215.23</v>
      </c>
    </row>
    <row r="17">
      <c r="A17" t="inlineStr">
        <is>
          <t>Taxes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</row>
    <row r="18">
      <c r="A18" t="inlineStr">
        <is>
          <t>Commissions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-0.1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</row>
    <row r="19">
      <c r="A19" t="inlineStr">
        <is>
          <t>Other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</row>
    <row r="21">
      <c r="A21" t="inlineStr">
        <is>
          <t>Turnover</t>
        </is>
      </c>
      <c r="B21" t="n">
        <v>153.9</v>
      </c>
      <c r="C21" t="n">
        <v>102.38</v>
      </c>
      <c r="D21" t="n">
        <v>103.09</v>
      </c>
      <c r="E21" t="n">
        <v>5676.29632</v>
      </c>
      <c r="F21" t="n">
        <v>9195.49</v>
      </c>
      <c r="G21" t="n">
        <v>1416.88</v>
      </c>
      <c r="H21" t="n">
        <v>25710.837841</v>
      </c>
      <c r="I21" t="n">
        <v>15264.89305</v>
      </c>
      <c r="J21" t="n">
        <v>715296.2665276335</v>
      </c>
      <c r="K21" t="n">
        <v>14126.86</v>
      </c>
      <c r="L21" t="n">
        <v>28551.38134</v>
      </c>
      <c r="M21" t="n">
        <v>15215.23</v>
      </c>
    </row>
    <row r="22">
      <c r="A22" t="inlineStr">
        <is>
          <t>Total purchases</t>
        </is>
      </c>
      <c r="B22" t="n">
        <v>153.9</v>
      </c>
      <c r="C22" t="n">
        <v>102.38</v>
      </c>
      <c r="D22" t="n">
        <v>103.09</v>
      </c>
      <c r="E22" t="n">
        <v>2892.73</v>
      </c>
      <c r="F22" t="n">
        <v>4652.64</v>
      </c>
      <c r="G22" t="n">
        <v>760.4299999999999</v>
      </c>
      <c r="H22" t="n">
        <v>16317.828841</v>
      </c>
      <c r="I22" t="n">
        <v>3605.51305</v>
      </c>
      <c r="J22" t="n">
        <v>430728.2724326335</v>
      </c>
      <c r="K22" t="n">
        <v>5101.82</v>
      </c>
      <c r="L22" t="n">
        <v>13195.41</v>
      </c>
      <c r="M22" t="n">
        <v>215.23</v>
      </c>
    </row>
    <row r="23">
      <c r="A23" t="inlineStr">
        <is>
          <t>Total sales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n">
        <v>2783.56632</v>
      </c>
      <c r="F23" t="n">
        <v>4542.85</v>
      </c>
      <c r="G23" t="n">
        <v>656.45</v>
      </c>
      <c r="H23" t="n">
        <v>9393.009</v>
      </c>
      <c r="I23" t="n">
        <v>11659.38</v>
      </c>
      <c r="J23" t="n">
        <v>284567.994095</v>
      </c>
      <c r="K23" t="n">
        <v>9025.040000000001</v>
      </c>
      <c r="L23" t="n">
        <v>15355.97134</v>
      </c>
      <c r="M23" t="n">
        <v>15000</v>
      </c>
    </row>
    <row r="25">
      <c r="A25" t="inlineStr">
        <is>
          <t>Total trades</t>
        </is>
      </c>
      <c r="B25" t="n">
        <v>6</v>
      </c>
      <c r="C25" t="n">
        <v>5</v>
      </c>
      <c r="D25" t="n">
        <v>4</v>
      </c>
      <c r="E25" t="n">
        <v>14</v>
      </c>
      <c r="F25" t="n">
        <v>14</v>
      </c>
      <c r="G25" t="n">
        <v>5</v>
      </c>
      <c r="H25" t="n">
        <v>31</v>
      </c>
      <c r="I25" t="n">
        <v>19</v>
      </c>
      <c r="J25" t="n">
        <v>123</v>
      </c>
      <c r="K25" t="n">
        <v>16</v>
      </c>
      <c r="L25" t="n">
        <v>10</v>
      </c>
      <c r="M25" t="n">
        <v>2</v>
      </c>
    </row>
    <row r="26">
      <c r="A26" t="inlineStr">
        <is>
          <t>Buy trades</t>
        </is>
      </c>
      <c r="B26" t="n">
        <v>6</v>
      </c>
      <c r="C26" t="n">
        <v>5</v>
      </c>
      <c r="D26" t="n">
        <v>4</v>
      </c>
      <c r="E26" t="n">
        <v>8</v>
      </c>
      <c r="F26" t="n">
        <v>10</v>
      </c>
      <c r="G26" t="n">
        <v>4</v>
      </c>
      <c r="H26" t="n">
        <v>21</v>
      </c>
      <c r="I26" t="n">
        <v>8</v>
      </c>
      <c r="J26" t="n">
        <v>63</v>
      </c>
      <c r="K26" t="n">
        <v>13</v>
      </c>
      <c r="L26" t="n">
        <v>3</v>
      </c>
      <c r="M26" t="n">
        <v>1</v>
      </c>
    </row>
    <row r="27">
      <c r="A27" t="inlineStr">
        <is>
          <t>Sell trades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n">
        <v>6</v>
      </c>
      <c r="F27" t="n">
        <v>4</v>
      </c>
      <c r="G27" t="n">
        <v>1</v>
      </c>
      <c r="H27" t="n">
        <v>10</v>
      </c>
      <c r="I27" t="n">
        <v>11</v>
      </c>
      <c r="J27" t="n">
        <v>60</v>
      </c>
      <c r="K27" t="n">
        <v>3</v>
      </c>
      <c r="L27" t="n">
        <v>7</v>
      </c>
      <c r="M27" t="n">
        <v>1</v>
      </c>
    </row>
    <row r="29">
      <c r="A29" t="inlineStr">
        <is>
          <t>Cash funds</t>
        </is>
      </c>
      <c r="B29" t="n">
        <v>464.3534986328</v>
      </c>
      <c r="C29" t="n">
        <v>464.3534986328</v>
      </c>
      <c r="D29" t="n">
        <v>464.3534986328</v>
      </c>
      <c r="E29" t="n">
        <v>464.3598186328</v>
      </c>
      <c r="F29" t="n">
        <v>464.3598186328</v>
      </c>
      <c r="G29" t="n">
        <v>464.3598186328</v>
      </c>
      <c r="H29" t="n">
        <v>-6311.3500223672</v>
      </c>
      <c r="I29" t="n">
        <v>1814.3769276328</v>
      </c>
      <c r="J29" t="n">
        <v>-2199.44134000073</v>
      </c>
      <c r="K29" t="n">
        <v>-2199.50134000073</v>
      </c>
      <c r="L29" t="inlineStr">
        <is>
          <t>-</t>
        </is>
      </c>
      <c r="M29" t="inlineStr">
        <is>
          <t>-</t>
        </is>
      </c>
    </row>
    <row r="30">
      <c r="A30" t="inlineStr">
        <is>
          <t>Deposited</t>
        </is>
      </c>
      <c r="B30" t="n">
        <v>150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150</v>
      </c>
      <c r="I30" t="n">
        <v>100</v>
      </c>
      <c r="J30" t="n">
        <v>141594.75007</v>
      </c>
      <c r="K30" t="n">
        <v>53.56</v>
      </c>
      <c r="L30" t="inlineStr">
        <is>
          <t>-</t>
        </is>
      </c>
      <c r="M30" t="inlineStr">
        <is>
          <t>-</t>
        </is>
      </c>
    </row>
    <row r="31">
      <c r="A31" t="inlineStr">
        <is>
          <t>Withdrawn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n">
        <v>4.42</v>
      </c>
      <c r="I31" t="n">
        <v>29.01</v>
      </c>
      <c r="J31" t="inlineStr">
        <is>
          <t>-</t>
        </is>
      </c>
      <c r="K31" t="n">
        <v>5000</v>
      </c>
      <c r="L31" t="inlineStr">
        <is>
          <t>-</t>
        </is>
      </c>
      <c r="M31" t="n">
        <v>15000</v>
      </c>
    </row>
    <row r="32">
      <c r="A32" t="inlineStr">
        <is>
          <t>Available funds</t>
        </is>
      </c>
      <c r="B32" t="n">
        <v>464.3534986328</v>
      </c>
      <c r="C32" t="n">
        <v>464.3534986328</v>
      </c>
      <c r="D32" t="n">
        <v>464.3534986328</v>
      </c>
      <c r="E32" t="n">
        <v>464.3598186328</v>
      </c>
      <c r="F32" t="n">
        <v>464.3598186328</v>
      </c>
      <c r="G32" t="n">
        <v>464.3598186328</v>
      </c>
      <c r="H32" t="n">
        <v>-6311.3500223672</v>
      </c>
      <c r="I32" t="n">
        <v>1814.3769276328</v>
      </c>
      <c r="J32" t="n">
        <v>-2199.44134000073</v>
      </c>
      <c r="K32" t="n">
        <v>-2199.50134000073</v>
      </c>
      <c r="L32" t="inlineStr">
        <is>
          <t>-</t>
        </is>
      </c>
      <c r="M32" t="inlineStr">
        <is>
          <t>-</t>
        </is>
      </c>
    </row>
    <row r="35">
      <c r="A35" t="inlineStr">
        <is>
          <t>S&amp;P 500 Market Performance</t>
        </is>
      </c>
      <c r="B35" t="n">
        <v>-769.3781006552196</v>
      </c>
      <c r="C35" t="n">
        <v>-68.27003592775492</v>
      </c>
      <c r="D35" t="n">
        <v>793.1398880433039</v>
      </c>
      <c r="E35" t="n">
        <v>660.5923761576873</v>
      </c>
      <c r="F35" t="n">
        <v>377.4207560931326</v>
      </c>
      <c r="G35" t="n">
        <v>327.1255975024325</v>
      </c>
      <c r="H35" t="n">
        <v>525.4958412693073</v>
      </c>
      <c r="I35" t="n">
        <v>459.8479347111791</v>
      </c>
      <c r="J35" t="n">
        <v>117.9434947670657</v>
      </c>
      <c r="K35" t="n">
        <v>-347.6598387712947</v>
      </c>
      <c r="L35" t="n">
        <v>2773.284374085393</v>
      </c>
      <c r="M35" t="n">
        <v>-209.1198975118535</v>
      </c>
    </row>
    <row r="36">
      <c r="A36" t="inlineStr">
        <is>
          <t>S&amp;P 500 Market Performance, %</t>
        </is>
      </c>
      <c r="B36" t="n">
        <v>-5.81</v>
      </c>
      <c r="C36" t="n">
        <v>-0.54</v>
      </c>
      <c r="D36" t="n">
        <v>6.24</v>
      </c>
      <c r="E36" t="n">
        <v>4.82</v>
      </c>
      <c r="F36" t="n">
        <v>2.57</v>
      </c>
      <c r="G36" t="n">
        <v>2.05</v>
      </c>
      <c r="H36" t="n">
        <v>3.26</v>
      </c>
      <c r="I36" t="n">
        <v>2.65</v>
      </c>
      <c r="J36" t="n">
        <v>0.07000000000000001</v>
      </c>
      <c r="K36" t="n">
        <v>-0.22</v>
      </c>
      <c r="L36" t="n">
        <v>1.76</v>
      </c>
      <c r="M36" t="n">
        <v>-0.14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2026-02-07T22:59:48Z</dcterms:created>
  <dcterms:modified xmlns:dcterms="http://purl.org/dc/terms/" xmlns:xsi="http://www.w3.org/2001/XMLSchema-instance" xsi:type="dcterms:W3CDTF">2026-02-08T21:00:46Z</dcterms:modified>
  <cp:lastModifiedBy>Aladdin Zahran</cp:lastModifiedBy>
</cp:coreProperties>
</file>