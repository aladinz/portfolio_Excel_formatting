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ladi\Portfolio_Excel_Formattin\"/>
    </mc:Choice>
  </mc:AlternateContent>
  <xr:revisionPtr revIDLastSave="0" documentId="13_ncr:1_{0F91ECAB-02F6-4E12-BC0D-517D7B2BE8E0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Executive Summary" sheetId="1" r:id="rId1"/>
    <sheet name="Monthly Performance" sheetId="2" r:id="rId2"/>
    <sheet name="Data Source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<sst xmlns="http://schemas.openxmlformats.org/spreadsheetml/2006/main" count="222" uniqueCount="101">
  <si>
    <t xml:space="preserve">         Portfolio report: Investment</t>
  </si>
  <si>
    <t>Report Generated: February 7, 2026</t>
  </si>
  <si>
    <t>Month</t>
  </si>
  <si>
    <t>Portfolio Value</t>
  </si>
  <si>
    <t>Monthly Profit</t>
  </si>
  <si>
    <t>KEY PERFORMANCE INDICATORS</t>
  </si>
  <si>
    <t>Mar 25</t>
  </si>
  <si>
    <t>Metric</t>
  </si>
  <si>
    <t>Value</t>
  </si>
  <si>
    <t>Details</t>
  </si>
  <si>
    <t>Apr 25</t>
  </si>
  <si>
    <t>Portfolio Growth</t>
  </si>
  <si>
    <t>$133,267.19</t>
  </si>
  <si>
    <t>1017.86% increase</t>
  </si>
  <si>
    <t>May 25</t>
  </si>
  <si>
    <t>Starting Value</t>
  </si>
  <si>
    <t>$13,092.90</t>
  </si>
  <si>
    <t>Jun 25</t>
  </si>
  <si>
    <t>Ending Value</t>
  </si>
  <si>
    <t>$146,360.09</t>
  </si>
  <si>
    <t>February 2026</t>
  </si>
  <si>
    <t>Jul 25</t>
  </si>
  <si>
    <t>Total Profit</t>
  </si>
  <si>
    <t>$10,752.31</t>
  </si>
  <si>
    <t>Last 12 months</t>
  </si>
  <si>
    <t>Aug 25</t>
  </si>
  <si>
    <t>Total Dividends</t>
  </si>
  <si>
    <t>$1,865.85</t>
  </si>
  <si>
    <t>Cumulative</t>
  </si>
  <si>
    <t>Sep 25</t>
  </si>
  <si>
    <t>Average Monthly Return</t>
  </si>
  <si>
    <t>$896.03</t>
  </si>
  <si>
    <t>Per month average</t>
  </si>
  <si>
    <t>Oct 25</t>
  </si>
  <si>
    <t>Positive Months</t>
  </si>
  <si>
    <t>10 of 12</t>
  </si>
  <si>
    <t>83% win rate</t>
  </si>
  <si>
    <t>Nov 25</t>
  </si>
  <si>
    <t>Best Month</t>
  </si>
  <si>
    <t>$3,113.81</t>
  </si>
  <si>
    <t>Highest profit</t>
  </si>
  <si>
    <t>Dec 25</t>
  </si>
  <si>
    <t>Worst Month</t>
  </si>
  <si>
    <t>$-766.35</t>
  </si>
  <si>
    <t>Lowest profit</t>
  </si>
  <si>
    <t>Jan 26</t>
  </si>
  <si>
    <t>Feb 26</t>
  </si>
  <si>
    <t>TRADING ACTIVITY SUMMARY</t>
  </si>
  <si>
    <t>Total Trades</t>
  </si>
  <si>
    <t>20 per month average</t>
  </si>
  <si>
    <t>Buy Transactions</t>
  </si>
  <si>
    <t>12 average</t>
  </si>
  <si>
    <t>Sell Transactions</t>
  </si>
  <si>
    <t>11 average</t>
  </si>
  <si>
    <t>KEY INSIGHTS &amp; RECOMMENDATIONS</t>
  </si>
  <si>
    <t>1. Portfolio demonstrates consistent positive growth with strong cumulative returns</t>
  </si>
  <si>
    <t>2. High win rate (83%+ positive months) indicates favorable market positioning</t>
  </si>
  <si>
    <t>3. Dividend accumulation provides steady passive income stream</t>
  </si>
  <si>
    <t>4. Average monthly returns exceed typical market benchmarks</t>
  </si>
  <si>
    <t>5. Trading activity shows disciplined approach with measured transactions</t>
  </si>
  <si>
    <t>6. Risk management evident from contained worst-month losses relative to gains</t>
  </si>
  <si>
    <t>ACTION ITEMS &amp; STRATEGY</t>
  </si>
  <si>
    <t>1. Continue current strategy - proven track record of consistent returns</t>
  </si>
  <si>
    <t>2. Maintain dividend reinvestment for compound growth acceleration</t>
  </si>
  <si>
    <t>3. Review quarterly performance against benchmarks (S&amp;P 500, Russell 2000)</t>
  </si>
  <si>
    <t>4. Rebalance portfolio if allocation drifts &gt;10% from target</t>
  </si>
  <si>
    <t>5. Evaluate tax-loss harvesting opportunities in down months</t>
  </si>
  <si>
    <t>6. Monitor market conditions for tactical adjustments if warranted</t>
  </si>
  <si>
    <t>MONTHLY PERFORMANCE ANALYSIS</t>
  </si>
  <si>
    <t>Period</t>
  </si>
  <si>
    <t>Portfolio Value (Start)</t>
  </si>
  <si>
    <t>Portfolio Value (End)</t>
  </si>
  <si>
    <t>PROFIT METRICS</t>
  </si>
  <si>
    <t>Total profit</t>
  </si>
  <si>
    <t>Total profit, %</t>
  </si>
  <si>
    <t>Profit from price change</t>
  </si>
  <si>
    <t>Net profit from sales</t>
  </si>
  <si>
    <t>-</t>
  </si>
  <si>
    <t>Dividends</t>
  </si>
  <si>
    <t>TRADING ACTIVITY</t>
  </si>
  <si>
    <t>Total trades</t>
  </si>
  <si>
    <t>Buy trades</t>
  </si>
  <si>
    <t>Sell trades</t>
  </si>
  <si>
    <t>Total purchases</t>
  </si>
  <si>
    <t>Total sales</t>
  </si>
  <si>
    <t>Original Data Structure</t>
  </si>
  <si>
    <t>Portfolio value</t>
  </si>
  <si>
    <t>At the beginning of the period</t>
  </si>
  <si>
    <t>At the end of the period</t>
  </si>
  <si>
    <t>Change</t>
  </si>
  <si>
    <t>Profit from sales</t>
  </si>
  <si>
    <t>Taxes</t>
  </si>
  <si>
    <t>Commissions</t>
  </si>
  <si>
    <t>Other</t>
  </si>
  <si>
    <t>Turnover</t>
  </si>
  <si>
    <t>Cash funds</t>
  </si>
  <si>
    <t>Deposited</t>
  </si>
  <si>
    <t>Withdrawn</t>
  </si>
  <si>
    <t>Available funds</t>
  </si>
  <si>
    <t>S&amp;P 500 Market Performance</t>
  </si>
  <si>
    <t>S&amp;P 500 Market Performance,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</si>
</sst>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b/>
      <sz val="10"/>
      <name val="Calibri"/>
    </font>
    <font>
      <b/>
      <sz val="14"/>
      <color rgb="FFFFFFFF"/>
      <name val="Calibri"/>
    </font>
    <font>
      <i/>
      <sz val="10"/>
      <name val="Calibri"/>
    </font>
    <font>
      <b/>
      <sz val="11"/>
      <name val="Calibri"/>
    </font>
    <font>
      <sz val="1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5" borderId="1" xfId="0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right" vertical="center"/>
    </xf>
    <xf numFmtId="0" fontId="8" fillId="6" borderId="1" xfId="0" applyFont="1" applyFill="1" applyBorder="1" applyAlignment="1">
      <alignment horizontal="left" vertical="center"/>
    </xf>
    <xf numFmtId="0" fontId="4" fillId="9" borderId="4" xfId="0" applyFont="1" applyFill="1" applyBorder="1"/>
    <xf numFmtId="0" fontId="4" fillId="4" borderId="1" xfId="0" applyFont="1" applyFill="1" applyBorder="1" applyAlignment="1">
      <alignment horizontal="right" vertical="center"/>
    </xf>
    <xf numFmtId="0" fontId="0" fillId="10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7" borderId="1" xfId="0" applyFill="1" applyBorder="1" applyAlignment="1">
      <alignment horizontal="left" vertical="center"/>
    </xf>
    <xf numFmtId="0" fontId="0" fillId="0" borderId="0" xfId="0"/>
    <xf numFmtId="0" fontId="8" fillId="7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top" wrapText="1"/>
    </xf>
    <xf numFmtId="0" fontId="0" fillId="0" borderId="0" xfId="0"/>
    <xf numFmtId="0" fontId="8" fillId="10" borderId="1" xfId="0" applyFont="1" applyFill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2" fillId="3" borderId="0" xfId="0" applyFont="1" applyFill="1" applyAlignment="1">
      <alignment horizontal="left" vertical="center"/>
    </xf>
    <xf numFmtId="0" fontId="8" fillId="8" borderId="1" xfId="0" applyFont="1" applyFill="1" applyBorder="1" applyAlignment="1">
      <alignment horizontal="left" vertical="top" wrapText="1"/>
    </xf>
    <xf numFmtId="0" fontId="1" fillId="2" borderId="0" xfId="0" applyFont="1" applyFill="1" applyAlignment="1">
      <alignment horizontal="left" vertical="center" wrapText="1"/>
    </xf>
    <xf numFmtId="0" fontId="8" fillId="7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Portfolio Growth - 12 Month Progression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'Executive Summary'!$H$3</c:f>
              <c:strCache>
                <c:ptCount val="1"/>
                <c:pt idx="0">
                  <c:v>Portfolio Value</c:v>
                </c:pt>
              </c:strCache>
            </c:strRef>
          </c:tx>
          <c:spPr>
            <a:ln w="25000">
              <a:solidFill>
                <a:srgbClr val="1F4788"/>
              </a:solidFill>
              <a:prstDash val="solid"/>
            </a:ln>
          </c:spPr>
          <c:marker>
            <c:symbol val="none"/>
          </c:marker>
          <c:cat>
            <c:strRef>
              <c:f>'Executive Summary'!$G$4:$G$15</c:f>
              <c:strCache>
                <c:ptCount val="12"/>
                <c:pt idx="0">
                  <c:v>Mar 25</c:v>
                </c:pt>
                <c:pt idx="1">
                  <c:v>Apr 25</c:v>
                </c:pt>
                <c:pt idx="2">
                  <c:v>May 25</c:v>
                </c:pt>
                <c:pt idx="3">
                  <c:v>Jun 25</c:v>
                </c:pt>
                <c:pt idx="4">
                  <c:v>Jul 25</c:v>
                </c:pt>
                <c:pt idx="5">
                  <c:v>Aug 25</c:v>
                </c:pt>
                <c:pt idx="6">
                  <c:v>Sep 25</c:v>
                </c:pt>
                <c:pt idx="7">
                  <c:v>Oct 25</c:v>
                </c:pt>
                <c:pt idx="8">
                  <c:v>Nov 25</c:v>
                </c:pt>
                <c:pt idx="9">
                  <c:v>Dec 25</c:v>
                </c:pt>
                <c:pt idx="10">
                  <c:v>Jan 26</c:v>
                </c:pt>
                <c:pt idx="11">
                  <c:v>Feb 26</c:v>
                </c:pt>
              </c:strCache>
            </c:strRef>
          </c:cat>
          <c:val>
            <c:numRef>
              <c:f>'Executive Summary'!$H$4:$H$15</c:f>
              <c:numCache>
                <c:formatCode>General</c:formatCode>
                <c:ptCount val="12"/>
                <c:pt idx="0">
                  <c:v>12476.54631329232</c:v>
                </c:pt>
                <c:pt idx="1">
                  <c:v>12614.2312686328</c:v>
                </c:pt>
                <c:pt idx="2">
                  <c:v>13618.569806957201</c:v>
                </c:pt>
                <c:pt idx="3">
                  <c:v>14525.9969986328</c:v>
                </c:pt>
                <c:pt idx="4">
                  <c:v>15881.925458632801</c:v>
                </c:pt>
                <c:pt idx="5">
                  <c:v>15962.348838632801</c:v>
                </c:pt>
                <c:pt idx="6">
                  <c:v>17259.349177632801</c:v>
                </c:pt>
                <c:pt idx="7">
                  <c:v>18417.126927632798</c:v>
                </c:pt>
                <c:pt idx="8">
                  <c:v>161024.33705999929</c:v>
                </c:pt>
                <c:pt idx="9">
                  <c:v>157033.80223999929</c:v>
                </c:pt>
                <c:pt idx="10">
                  <c:v>160147.60999999999</c:v>
                </c:pt>
                <c:pt idx="11">
                  <c:v>146360.09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F44-4590-810E-E1D4976ABF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Portfolio Value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Returns - 12 Month Performance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'Executive Summary'!$K$3</c:f>
              <c:strCache>
                <c:ptCount val="1"/>
                <c:pt idx="0">
                  <c:v>Monthly Profit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'Executive Summary'!$J$4:$J$15</c:f>
              <c:strCache>
                <c:ptCount val="12"/>
                <c:pt idx="0">
                  <c:v>Mar 25</c:v>
                </c:pt>
                <c:pt idx="1">
                  <c:v>Apr 25</c:v>
                </c:pt>
                <c:pt idx="2">
                  <c:v>May 25</c:v>
                </c:pt>
                <c:pt idx="3">
                  <c:v>Jun 25</c:v>
                </c:pt>
                <c:pt idx="4">
                  <c:v>Jul 25</c:v>
                </c:pt>
                <c:pt idx="5">
                  <c:v>Aug 25</c:v>
                </c:pt>
                <c:pt idx="6">
                  <c:v>Sep 25</c:v>
                </c:pt>
                <c:pt idx="7">
                  <c:v>Oct 25</c:v>
                </c:pt>
                <c:pt idx="8">
                  <c:v>Nov 25</c:v>
                </c:pt>
                <c:pt idx="9">
                  <c:v>Dec 25</c:v>
                </c:pt>
                <c:pt idx="10">
                  <c:v>Jan 26</c:v>
                </c:pt>
                <c:pt idx="11">
                  <c:v>Feb 26</c:v>
                </c:pt>
              </c:strCache>
            </c:strRef>
          </c:cat>
          <c:val>
            <c:numRef>
              <c:f>'Executive Summary'!$K$4:$K$15</c:f>
              <c:numCache>
                <c:formatCode>General</c:formatCode>
                <c:ptCount val="12"/>
                <c:pt idx="0">
                  <c:v>-766.34964434584003</c:v>
                </c:pt>
                <c:pt idx="1">
                  <c:v>37.684955340480002</c:v>
                </c:pt>
                <c:pt idx="2">
                  <c:v>904.33853832440002</c:v>
                </c:pt>
                <c:pt idx="3">
                  <c:v>807.42719167560006</c:v>
                </c:pt>
                <c:pt idx="4">
                  <c:v>1255.9284600000001</c:v>
                </c:pt>
                <c:pt idx="5">
                  <c:v>-19.576619999999998</c:v>
                </c:pt>
                <c:pt idx="6">
                  <c:v>1151.420339</c:v>
                </c:pt>
                <c:pt idx="7">
                  <c:v>1086.78775</c:v>
                </c:pt>
                <c:pt idx="8">
                  <c:v>1012.46006236647</c:v>
                </c:pt>
                <c:pt idx="9">
                  <c:v>955.90517999999997</c:v>
                </c:pt>
                <c:pt idx="10">
                  <c:v>3113.80776000073</c:v>
                </c:pt>
                <c:pt idx="11">
                  <c:v>1212.48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F56-4A07-A818-04428C5FA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0</xdr:row>
      <xdr:rowOff>0</xdr:rowOff>
    </xdr:from>
    <xdr:ext cx="6115050" cy="401002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9524</xdr:colOff>
      <xdr:row>19</xdr:row>
      <xdr:rowOff>285749</xdr:rowOff>
    </xdr:from>
    <xdr:ext cx="6124575" cy="4581525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tabSelected="1" topLeftCell="A10" workbookViewId="0">
      <selection activeCell="Q30" sqref="Q30"/>
    </sheetView>
  </sheetViews>
  <sheetFormatPr defaultRowHeight="15" x14ac:dyDescent="0.25"/>
  <cols>
    <col min="1" max="1" width="35" style="14" customWidth="1"/>
    <col min="2" max="2" width="20" style="14" customWidth="1"/>
    <col min="3" max="3" width="30" style="14" customWidth="1"/>
    <col min="4" max="5" width="5" style="14" customWidth="1"/>
  </cols>
  <sheetData>
    <row r="1" spans="1:11" ht="30" customHeight="1" x14ac:dyDescent="0.25">
      <c r="A1" s="23" t="s">
        <v>0</v>
      </c>
      <c r="B1" s="17"/>
      <c r="C1" s="17"/>
      <c r="D1" s="17"/>
      <c r="E1" s="17"/>
    </row>
    <row r="2" spans="1:11" ht="18" customHeight="1" x14ac:dyDescent="0.25">
      <c r="A2" s="4" t="s">
        <v>1</v>
      </c>
    </row>
    <row r="3" spans="1:11" ht="8.1" customHeight="1" x14ac:dyDescent="0.25">
      <c r="G3" t="s">
        <v>2</v>
      </c>
      <c r="H3" t="s">
        <v>3</v>
      </c>
      <c r="J3" t="s">
        <v>2</v>
      </c>
      <c r="K3" t="s">
        <v>4</v>
      </c>
    </row>
    <row r="4" spans="1:11" ht="21.95" customHeight="1" x14ac:dyDescent="0.25">
      <c r="A4" s="21" t="s">
        <v>5</v>
      </c>
      <c r="B4" s="17"/>
      <c r="C4" s="17"/>
      <c r="D4" s="17"/>
      <c r="E4" s="17"/>
      <c r="G4" t="s">
        <v>6</v>
      </c>
      <c r="H4">
        <v>12476.54631329232</v>
      </c>
      <c r="J4" t="s">
        <v>6</v>
      </c>
      <c r="K4">
        <v>-766.34964434584003</v>
      </c>
    </row>
    <row r="5" spans="1:11" ht="20.100000000000001" customHeight="1" x14ac:dyDescent="0.25">
      <c r="A5" s="5" t="s">
        <v>7</v>
      </c>
      <c r="B5" s="5" t="s">
        <v>8</v>
      </c>
      <c r="C5" s="5" t="s">
        <v>9</v>
      </c>
      <c r="G5" t="s">
        <v>10</v>
      </c>
      <c r="H5">
        <v>12614.2312686328</v>
      </c>
      <c r="J5" t="s">
        <v>10</v>
      </c>
      <c r="K5">
        <v>37.684955340480002</v>
      </c>
    </row>
    <row r="6" spans="1:11" ht="18" customHeight="1" x14ac:dyDescent="0.25">
      <c r="A6" s="6" t="s">
        <v>11</v>
      </c>
      <c r="B6" s="7" t="s">
        <v>12</v>
      </c>
      <c r="C6" s="8" t="s">
        <v>13</v>
      </c>
      <c r="G6" t="s">
        <v>14</v>
      </c>
      <c r="H6">
        <v>13618.569806957201</v>
      </c>
      <c r="J6" t="s">
        <v>14</v>
      </c>
      <c r="K6">
        <v>904.33853832440002</v>
      </c>
    </row>
    <row r="7" spans="1:11" ht="18" customHeight="1" x14ac:dyDescent="0.25">
      <c r="A7" s="6" t="s">
        <v>15</v>
      </c>
      <c r="B7" s="7" t="s">
        <v>16</v>
      </c>
      <c r="C7" s="8" t="s">
        <v>6</v>
      </c>
      <c r="G7" t="s">
        <v>17</v>
      </c>
      <c r="H7">
        <v>14525.9969986328</v>
      </c>
      <c r="J7" t="s">
        <v>17</v>
      </c>
      <c r="K7">
        <v>807.42719167560006</v>
      </c>
    </row>
    <row r="8" spans="1:11" ht="18" customHeight="1" x14ac:dyDescent="0.25">
      <c r="A8" s="6" t="s">
        <v>18</v>
      </c>
      <c r="B8" s="7" t="s">
        <v>19</v>
      </c>
      <c r="C8" s="8" t="s">
        <v>20</v>
      </c>
      <c r="G8" t="s">
        <v>21</v>
      </c>
      <c r="H8">
        <v>15881.925458632801</v>
      </c>
      <c r="J8" t="s">
        <v>21</v>
      </c>
      <c r="K8">
        <v>1255.9284600000001</v>
      </c>
    </row>
    <row r="9" spans="1:11" ht="18" customHeight="1" x14ac:dyDescent="0.25">
      <c r="A9" s="6" t="s">
        <v>22</v>
      </c>
      <c r="B9" s="7" t="s">
        <v>23</v>
      </c>
      <c r="C9" s="8" t="s">
        <v>24</v>
      </c>
      <c r="G9" t="s">
        <v>25</v>
      </c>
      <c r="H9">
        <v>15962.348838632801</v>
      </c>
      <c r="J9" t="s">
        <v>25</v>
      </c>
      <c r="K9">
        <v>-19.576619999999998</v>
      </c>
    </row>
    <row r="10" spans="1:11" ht="18" customHeight="1" x14ac:dyDescent="0.25">
      <c r="A10" s="6" t="s">
        <v>26</v>
      </c>
      <c r="B10" s="7" t="s">
        <v>27</v>
      </c>
      <c r="C10" s="8" t="s">
        <v>28</v>
      </c>
      <c r="G10" t="s">
        <v>29</v>
      </c>
      <c r="H10">
        <v>17259.349177632801</v>
      </c>
      <c r="J10" t="s">
        <v>29</v>
      </c>
      <c r="K10">
        <v>1151.420339</v>
      </c>
    </row>
    <row r="11" spans="1:11" ht="18" customHeight="1" x14ac:dyDescent="0.25">
      <c r="A11" s="6" t="s">
        <v>30</v>
      </c>
      <c r="B11" s="7" t="s">
        <v>31</v>
      </c>
      <c r="C11" s="8" t="s">
        <v>32</v>
      </c>
      <c r="G11" t="s">
        <v>33</v>
      </c>
      <c r="H11">
        <v>18417.126927632798</v>
      </c>
      <c r="J11" t="s">
        <v>33</v>
      </c>
      <c r="K11">
        <v>1086.78775</v>
      </c>
    </row>
    <row r="12" spans="1:11" ht="18" customHeight="1" x14ac:dyDescent="0.25">
      <c r="A12" s="6" t="s">
        <v>34</v>
      </c>
      <c r="B12" s="7" t="s">
        <v>35</v>
      </c>
      <c r="C12" s="8" t="s">
        <v>36</v>
      </c>
      <c r="G12" t="s">
        <v>37</v>
      </c>
      <c r="H12">
        <v>161024.33705999929</v>
      </c>
      <c r="J12" t="s">
        <v>37</v>
      </c>
      <c r="K12">
        <v>1012.46006236647</v>
      </c>
    </row>
    <row r="13" spans="1:11" ht="18" customHeight="1" x14ac:dyDescent="0.25">
      <c r="A13" s="6" t="s">
        <v>38</v>
      </c>
      <c r="B13" s="7" t="s">
        <v>39</v>
      </c>
      <c r="C13" s="8" t="s">
        <v>40</v>
      </c>
      <c r="G13" t="s">
        <v>41</v>
      </c>
      <c r="H13">
        <v>157033.80223999929</v>
      </c>
      <c r="J13" t="s">
        <v>41</v>
      </c>
      <c r="K13">
        <v>955.90517999999997</v>
      </c>
    </row>
    <row r="14" spans="1:11" ht="18" customHeight="1" x14ac:dyDescent="0.25">
      <c r="A14" s="6" t="s">
        <v>42</v>
      </c>
      <c r="B14" s="7" t="s">
        <v>43</v>
      </c>
      <c r="C14" s="8" t="s">
        <v>44</v>
      </c>
      <c r="G14" t="s">
        <v>45</v>
      </c>
      <c r="H14">
        <v>160147.60999999999</v>
      </c>
      <c r="J14" t="s">
        <v>45</v>
      </c>
      <c r="K14">
        <v>3113.80776000073</v>
      </c>
    </row>
    <row r="15" spans="1:11" ht="8.1" customHeight="1" x14ac:dyDescent="0.25">
      <c r="G15" t="s">
        <v>46</v>
      </c>
      <c r="H15">
        <v>146360.09</v>
      </c>
      <c r="J15" t="s">
        <v>46</v>
      </c>
      <c r="K15">
        <v>1212.48</v>
      </c>
    </row>
    <row r="16" spans="1:11" ht="21.95" customHeight="1" x14ac:dyDescent="0.25">
      <c r="A16" s="21"/>
      <c r="B16" s="17"/>
      <c r="C16" s="17"/>
      <c r="D16" s="17"/>
      <c r="E16" s="17"/>
    </row>
    <row r="17" spans="1:5" ht="24.95" customHeight="1" x14ac:dyDescent="0.25">
      <c r="A17" s="24" t="s">
        <v>47</v>
      </c>
      <c r="B17" s="19"/>
      <c r="C17" s="19"/>
      <c r="D17" s="19"/>
      <c r="E17" s="20"/>
    </row>
    <row r="18" spans="1:5" ht="24.95" customHeight="1" x14ac:dyDescent="0.25">
      <c r="A18" s="15" t="s">
        <v>48</v>
      </c>
      <c r="B18" s="13" t="s">
        <v>49</v>
      </c>
    </row>
    <row r="19" spans="1:5" ht="24.95" customHeight="1" x14ac:dyDescent="0.25">
      <c r="A19" s="15" t="s">
        <v>50</v>
      </c>
      <c r="B19" s="13" t="s">
        <v>51</v>
      </c>
    </row>
    <row r="20" spans="1:5" ht="24.95" customHeight="1" x14ac:dyDescent="0.25">
      <c r="A20" s="15" t="s">
        <v>52</v>
      </c>
      <c r="B20" s="13" t="s">
        <v>53</v>
      </c>
    </row>
    <row r="21" spans="1:5" ht="8.1" customHeight="1" x14ac:dyDescent="0.25">
      <c r="A21" s="9"/>
      <c r="B21" s="9"/>
      <c r="C21" s="9"/>
      <c r="D21" s="9"/>
      <c r="E21" s="9"/>
    </row>
    <row r="22" spans="1:5" ht="21.95" customHeight="1" x14ac:dyDescent="0.25">
      <c r="A22" s="21" t="s">
        <v>54</v>
      </c>
      <c r="B22" s="17"/>
      <c r="C22" s="17"/>
      <c r="D22" s="17"/>
      <c r="E22" s="17"/>
    </row>
    <row r="23" spans="1:5" ht="30" customHeight="1" x14ac:dyDescent="0.25">
      <c r="A23" s="22" t="s">
        <v>55</v>
      </c>
      <c r="B23" s="19"/>
      <c r="C23" s="19"/>
      <c r="D23" s="19"/>
      <c r="E23" s="20"/>
    </row>
    <row r="24" spans="1:5" ht="30" customHeight="1" x14ac:dyDescent="0.25">
      <c r="A24" s="22" t="s">
        <v>56</v>
      </c>
      <c r="B24" s="19"/>
      <c r="C24" s="19"/>
      <c r="D24" s="19"/>
      <c r="E24" s="20"/>
    </row>
    <row r="25" spans="1:5" ht="30" customHeight="1" x14ac:dyDescent="0.25">
      <c r="A25" s="22" t="s">
        <v>57</v>
      </c>
      <c r="B25" s="19"/>
      <c r="C25" s="19"/>
      <c r="D25" s="19"/>
      <c r="E25" s="20"/>
    </row>
    <row r="26" spans="1:5" ht="30" customHeight="1" x14ac:dyDescent="0.25">
      <c r="A26" s="22" t="s">
        <v>58</v>
      </c>
      <c r="B26" s="19"/>
      <c r="C26" s="19"/>
      <c r="D26" s="19"/>
      <c r="E26" s="20"/>
    </row>
    <row r="27" spans="1:5" ht="30" customHeight="1" x14ac:dyDescent="0.25">
      <c r="A27" s="22" t="s">
        <v>59</v>
      </c>
      <c r="B27" s="19"/>
      <c r="C27" s="19"/>
      <c r="D27" s="19"/>
      <c r="E27" s="20"/>
    </row>
    <row r="28" spans="1:5" ht="30" customHeight="1" x14ac:dyDescent="0.25">
      <c r="A28" s="22" t="s">
        <v>60</v>
      </c>
      <c r="B28" s="19"/>
      <c r="C28" s="19"/>
      <c r="D28" s="19"/>
      <c r="E28" s="20"/>
    </row>
    <row r="29" spans="1:5" ht="8.1" customHeight="1" x14ac:dyDescent="0.25"/>
    <row r="30" spans="1:5" ht="21.95" customHeight="1" x14ac:dyDescent="0.25">
      <c r="A30" s="16" t="s">
        <v>61</v>
      </c>
      <c r="B30" s="17"/>
      <c r="C30" s="17"/>
      <c r="D30" s="17"/>
      <c r="E30" s="17"/>
    </row>
    <row r="31" spans="1:5" ht="30" customHeight="1" x14ac:dyDescent="0.25">
      <c r="A31" s="18" t="s">
        <v>62</v>
      </c>
      <c r="B31" s="19"/>
      <c r="C31" s="19"/>
      <c r="D31" s="19"/>
      <c r="E31" s="20"/>
    </row>
    <row r="32" spans="1:5" ht="30" customHeight="1" x14ac:dyDescent="0.25">
      <c r="A32" s="18" t="s">
        <v>63</v>
      </c>
      <c r="B32" s="19"/>
      <c r="C32" s="19"/>
      <c r="D32" s="19"/>
      <c r="E32" s="20"/>
    </row>
    <row r="33" spans="1:5" ht="30" customHeight="1" x14ac:dyDescent="0.25">
      <c r="A33" s="18" t="s">
        <v>64</v>
      </c>
      <c r="B33" s="19"/>
      <c r="C33" s="19"/>
      <c r="D33" s="19"/>
      <c r="E33" s="20"/>
    </row>
    <row r="34" spans="1:5" ht="30" customHeight="1" x14ac:dyDescent="0.25">
      <c r="A34" s="18" t="s">
        <v>65</v>
      </c>
      <c r="B34" s="19"/>
      <c r="C34" s="19"/>
      <c r="D34" s="19"/>
      <c r="E34" s="20"/>
    </row>
    <row r="35" spans="1:5" ht="30" customHeight="1" x14ac:dyDescent="0.25">
      <c r="A35" s="18" t="s">
        <v>66</v>
      </c>
      <c r="B35" s="19"/>
      <c r="C35" s="19"/>
      <c r="D35" s="19"/>
      <c r="E35" s="20"/>
    </row>
    <row r="36" spans="1:5" ht="30" customHeight="1" x14ac:dyDescent="0.25">
      <c r="A36" s="18" t="s">
        <v>67</v>
      </c>
      <c r="B36" s="19"/>
      <c r="C36" s="19"/>
      <c r="D36" s="19"/>
      <c r="E36" s="20"/>
    </row>
  </sheetData>
  <mergeCells count="18">
    <mergeCell ref="A1:E1"/>
    <mergeCell ref="A23:E23"/>
    <mergeCell ref="A32:E32"/>
    <mergeCell ref="A36:E36"/>
    <mergeCell ref="A31:E31"/>
    <mergeCell ref="A22:E22"/>
    <mergeCell ref="A17:E17"/>
    <mergeCell ref="A27:E27"/>
    <mergeCell ref="A30:E30"/>
    <mergeCell ref="A34:E34"/>
    <mergeCell ref="A35:E35"/>
    <mergeCell ref="A4:E4"/>
    <mergeCell ref="A26:E26"/>
    <mergeCell ref="A24:E24"/>
    <mergeCell ref="A16:E16"/>
    <mergeCell ref="A28:E28"/>
    <mergeCell ref="A25:E25"/>
    <mergeCell ref="A33:E33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2"/>
  <sheetViews>
    <sheetView workbookViewId="0">
      <selection sqref="A1:M1"/>
    </sheetView>
  </sheetViews>
  <sheetFormatPr defaultRowHeight="15" x14ac:dyDescent="0.25"/>
  <cols>
    <col min="1" max="1" width="28" style="14" customWidth="1"/>
    <col min="2" max="13" width="14" style="14" customWidth="1"/>
  </cols>
  <sheetData>
    <row r="1" spans="1:13" ht="24.95" customHeight="1" x14ac:dyDescent="0.25">
      <c r="A1" s="26" t="s">
        <v>68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8.1" customHeight="1" x14ac:dyDescent="0.25"/>
    <row r="3" spans="1:13" ht="21.95" customHeight="1" x14ac:dyDescent="0.25">
      <c r="A3" s="5" t="s">
        <v>69</v>
      </c>
      <c r="B3" s="5" t="s">
        <v>6</v>
      </c>
      <c r="C3" s="5" t="s">
        <v>10</v>
      </c>
      <c r="D3" s="5" t="s">
        <v>14</v>
      </c>
      <c r="E3" s="5" t="s">
        <v>17</v>
      </c>
      <c r="F3" s="5" t="s">
        <v>21</v>
      </c>
      <c r="G3" s="5" t="s">
        <v>25</v>
      </c>
      <c r="H3" s="5" t="s">
        <v>29</v>
      </c>
      <c r="I3" s="5" t="s">
        <v>33</v>
      </c>
      <c r="J3" s="5" t="s">
        <v>37</v>
      </c>
      <c r="K3" s="5" t="s">
        <v>41</v>
      </c>
      <c r="L3" s="5" t="s">
        <v>45</v>
      </c>
      <c r="M3" s="5" t="s">
        <v>46</v>
      </c>
    </row>
    <row r="4" spans="1:13" ht="18" customHeight="1" x14ac:dyDescent="0.25">
      <c r="A4" s="10" t="s">
        <v>70</v>
      </c>
      <c r="B4" s="1">
        <v>13092.89595763816</v>
      </c>
      <c r="C4" s="1">
        <v>12476.54631329232</v>
      </c>
      <c r="D4" s="1">
        <v>12614.2312686328</v>
      </c>
      <c r="E4" s="1">
        <v>13618.569806957201</v>
      </c>
      <c r="F4" s="1">
        <v>14525.9969986328</v>
      </c>
      <c r="G4" s="1">
        <v>15881.925458632801</v>
      </c>
      <c r="H4" s="1">
        <v>15962.348838632801</v>
      </c>
      <c r="I4" s="1">
        <v>17259.349177632801</v>
      </c>
      <c r="J4" s="1">
        <v>18417.126927632798</v>
      </c>
      <c r="K4" s="1">
        <v>161024.33705999929</v>
      </c>
      <c r="L4" s="1">
        <v>157033.80223999929</v>
      </c>
      <c r="M4" s="1">
        <v>160147.60999999999</v>
      </c>
    </row>
    <row r="5" spans="1:13" ht="18" customHeight="1" x14ac:dyDescent="0.25">
      <c r="A5" s="10" t="s">
        <v>71</v>
      </c>
      <c r="B5" s="1">
        <v>12476.54631329232</v>
      </c>
      <c r="C5" s="1">
        <v>12614.2312686328</v>
      </c>
      <c r="D5" s="1">
        <v>13618.569806957201</v>
      </c>
      <c r="E5" s="1">
        <v>14525.9969986328</v>
      </c>
      <c r="F5" s="1">
        <v>15881.925458632801</v>
      </c>
      <c r="G5" s="1">
        <v>15962.348838632801</v>
      </c>
      <c r="H5" s="1">
        <v>17259.349177632801</v>
      </c>
      <c r="I5" s="1">
        <v>18417.126927632798</v>
      </c>
      <c r="J5" s="1">
        <v>161024.33705999929</v>
      </c>
      <c r="K5" s="1">
        <v>157033.80223999929</v>
      </c>
      <c r="L5" s="1">
        <v>160147.60999999999</v>
      </c>
      <c r="M5" s="1">
        <v>146360.09</v>
      </c>
    </row>
    <row r="6" spans="1:13" ht="8.1" customHeight="1" x14ac:dyDescent="0.25"/>
    <row r="7" spans="1:13" ht="20.100000000000001" customHeight="1" x14ac:dyDescent="0.25">
      <c r="A7" s="25" t="s">
        <v>72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20"/>
    </row>
    <row r="8" spans="1:13" ht="18" customHeight="1" x14ac:dyDescent="0.25">
      <c r="A8" s="10" t="s">
        <v>73</v>
      </c>
      <c r="B8" s="2">
        <v>-766.34964434584003</v>
      </c>
      <c r="C8" s="2">
        <v>37.684955340480002</v>
      </c>
      <c r="D8" s="2">
        <v>904.33853832440002</v>
      </c>
      <c r="E8" s="2">
        <v>807.42719167560006</v>
      </c>
      <c r="F8" s="2">
        <v>1255.9284600000001</v>
      </c>
      <c r="G8" s="2">
        <v>-19.576619999999998</v>
      </c>
      <c r="H8" s="2">
        <v>1151.420339</v>
      </c>
      <c r="I8" s="2">
        <v>1086.78775</v>
      </c>
      <c r="J8" s="2">
        <v>1012.46006236647</v>
      </c>
      <c r="K8" s="2">
        <v>955.90517999999997</v>
      </c>
      <c r="L8" s="2">
        <v>3113.80776000073</v>
      </c>
      <c r="M8" s="2">
        <v>1212.48</v>
      </c>
    </row>
    <row r="9" spans="1:13" ht="18" customHeight="1" x14ac:dyDescent="0.25">
      <c r="A9" s="10" t="s">
        <v>74</v>
      </c>
      <c r="B9" s="2">
        <v>-5.79</v>
      </c>
      <c r="C9" s="2">
        <v>0.3</v>
      </c>
      <c r="D9" s="2">
        <v>7.11</v>
      </c>
      <c r="E9" s="2">
        <v>5.89</v>
      </c>
      <c r="F9" s="2">
        <v>8.59</v>
      </c>
      <c r="G9" s="2">
        <v>-0.12</v>
      </c>
      <c r="H9" s="2">
        <v>7.15</v>
      </c>
      <c r="I9" s="2">
        <v>6.27</v>
      </c>
      <c r="J9" s="2">
        <v>0.63</v>
      </c>
      <c r="K9" s="2">
        <v>0.61</v>
      </c>
      <c r="L9" s="2">
        <v>1.98</v>
      </c>
      <c r="M9" s="2">
        <v>0.84</v>
      </c>
    </row>
    <row r="10" spans="1:13" ht="18" customHeight="1" x14ac:dyDescent="0.25">
      <c r="A10" s="10" t="s">
        <v>75</v>
      </c>
      <c r="B10" s="2">
        <v>-770.24964434584001</v>
      </c>
      <c r="C10" s="2">
        <v>35.304955340479999</v>
      </c>
      <c r="D10" s="2">
        <v>901.24853832439999</v>
      </c>
      <c r="E10" s="2">
        <v>607.24562000000003</v>
      </c>
      <c r="F10" s="2">
        <v>1225.6984600000001</v>
      </c>
      <c r="G10" s="2">
        <v>-112.75662</v>
      </c>
      <c r="H10" s="2">
        <v>893.48659899999996</v>
      </c>
      <c r="I10" s="2">
        <v>1009.8747499999999</v>
      </c>
      <c r="J10" s="2">
        <v>1086.7366197423401</v>
      </c>
      <c r="K10" s="2">
        <v>-264.53482000000002</v>
      </c>
      <c r="L10" s="2">
        <v>2909.2300000007299</v>
      </c>
      <c r="M10" s="2">
        <v>997.25</v>
      </c>
    </row>
    <row r="11" spans="1:13" ht="18" customHeight="1" x14ac:dyDescent="0.25">
      <c r="A11" s="10" t="s">
        <v>76</v>
      </c>
      <c r="B11" s="2" t="s">
        <v>77</v>
      </c>
      <c r="C11" s="2" t="s">
        <v>77</v>
      </c>
      <c r="D11" s="2" t="s">
        <v>77</v>
      </c>
      <c r="E11" s="2">
        <v>-346.08243679999998</v>
      </c>
      <c r="F11" s="2">
        <v>-5.92</v>
      </c>
      <c r="G11" s="2">
        <v>-76.55</v>
      </c>
      <c r="H11" s="2">
        <v>895.32047999999998</v>
      </c>
      <c r="I11" s="2">
        <v>557.30514136015995</v>
      </c>
      <c r="J11" s="2">
        <v>953.77475945676997</v>
      </c>
      <c r="K11" s="2">
        <v>330.04</v>
      </c>
      <c r="L11" s="2">
        <v>-78.917240257659998</v>
      </c>
      <c r="M11" s="2" t="s">
        <v>77</v>
      </c>
    </row>
    <row r="12" spans="1:13" ht="18" customHeight="1" x14ac:dyDescent="0.25">
      <c r="A12" s="10" t="s">
        <v>78</v>
      </c>
      <c r="B12" s="2">
        <v>3.9</v>
      </c>
      <c r="C12" s="2">
        <v>2.38</v>
      </c>
      <c r="D12" s="2">
        <v>3.09</v>
      </c>
      <c r="E12" s="2">
        <v>9.17</v>
      </c>
      <c r="F12" s="2">
        <v>9.7899999999999991</v>
      </c>
      <c r="G12" s="2">
        <v>3.98</v>
      </c>
      <c r="H12" s="2">
        <v>3.53</v>
      </c>
      <c r="I12" s="2">
        <v>0.97</v>
      </c>
      <c r="J12" s="2">
        <v>551.71</v>
      </c>
      <c r="K12" s="2">
        <v>1023.16</v>
      </c>
      <c r="L12" s="2">
        <v>38.94</v>
      </c>
      <c r="M12" s="2">
        <v>215.23</v>
      </c>
    </row>
    <row r="13" spans="1:13" ht="8.1" customHeight="1" x14ac:dyDescent="0.25"/>
    <row r="14" spans="1:13" ht="20.100000000000001" customHeight="1" x14ac:dyDescent="0.25">
      <c r="A14" s="25" t="s">
        <v>79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20"/>
    </row>
    <row r="15" spans="1:13" ht="18" customHeight="1" x14ac:dyDescent="0.25">
      <c r="A15" s="10" t="s">
        <v>80</v>
      </c>
      <c r="B15" s="3">
        <v>6</v>
      </c>
      <c r="C15" s="3">
        <v>5</v>
      </c>
      <c r="D15" s="3">
        <v>4</v>
      </c>
      <c r="E15" s="3">
        <v>14</v>
      </c>
      <c r="F15" s="3">
        <v>14</v>
      </c>
      <c r="G15" s="3">
        <v>5</v>
      </c>
      <c r="H15" s="3">
        <v>31</v>
      </c>
      <c r="I15" s="3">
        <v>19</v>
      </c>
      <c r="J15" s="3">
        <v>123</v>
      </c>
      <c r="K15" s="3">
        <v>16</v>
      </c>
      <c r="L15" s="3">
        <v>10</v>
      </c>
      <c r="M15" s="3">
        <v>2</v>
      </c>
    </row>
    <row r="16" spans="1:13" ht="18" customHeight="1" x14ac:dyDescent="0.25">
      <c r="A16" s="10" t="s">
        <v>81</v>
      </c>
      <c r="B16" s="3">
        <v>6</v>
      </c>
      <c r="C16" s="3">
        <v>5</v>
      </c>
      <c r="D16" s="3">
        <v>4</v>
      </c>
      <c r="E16" s="3">
        <v>8</v>
      </c>
      <c r="F16" s="3">
        <v>10</v>
      </c>
      <c r="G16" s="3">
        <v>4</v>
      </c>
      <c r="H16" s="3">
        <v>21</v>
      </c>
      <c r="I16" s="3">
        <v>8</v>
      </c>
      <c r="J16" s="3">
        <v>63</v>
      </c>
      <c r="K16" s="3">
        <v>13</v>
      </c>
      <c r="L16" s="3">
        <v>3</v>
      </c>
      <c r="M16" s="3">
        <v>1</v>
      </c>
    </row>
    <row r="17" spans="1:13" ht="18" customHeight="1" x14ac:dyDescent="0.25">
      <c r="A17" s="10" t="s">
        <v>82</v>
      </c>
      <c r="B17" s="3" t="s">
        <v>77</v>
      </c>
      <c r="C17" s="3" t="s">
        <v>77</v>
      </c>
      <c r="D17" s="3" t="s">
        <v>77</v>
      </c>
      <c r="E17" s="3">
        <v>6</v>
      </c>
      <c r="F17" s="3">
        <v>4</v>
      </c>
      <c r="G17" s="3">
        <v>1</v>
      </c>
      <c r="H17" s="3">
        <v>10</v>
      </c>
      <c r="I17" s="3">
        <v>11</v>
      </c>
      <c r="J17" s="3">
        <v>60</v>
      </c>
      <c r="K17" s="3">
        <v>3</v>
      </c>
      <c r="L17" s="3">
        <v>7</v>
      </c>
      <c r="M17" s="3">
        <v>1</v>
      </c>
    </row>
    <row r="18" spans="1:13" ht="18" customHeight="1" x14ac:dyDescent="0.25">
      <c r="A18" s="10" t="s">
        <v>83</v>
      </c>
      <c r="B18" s="3">
        <v>153.9</v>
      </c>
      <c r="C18" s="3">
        <v>102.38</v>
      </c>
      <c r="D18" s="3">
        <v>103.09</v>
      </c>
      <c r="E18" s="3">
        <v>2892.73</v>
      </c>
      <c r="F18" s="3">
        <v>4652.6400000000003</v>
      </c>
      <c r="G18" s="3">
        <v>760.43</v>
      </c>
      <c r="H18" s="3">
        <v>16317.828841</v>
      </c>
      <c r="I18" s="3">
        <v>3605.51305</v>
      </c>
      <c r="J18" s="3">
        <v>430728.2724326335</v>
      </c>
      <c r="K18" s="3">
        <v>5101.82</v>
      </c>
      <c r="L18" s="3">
        <v>13195.41</v>
      </c>
      <c r="M18" s="3">
        <v>215.23</v>
      </c>
    </row>
    <row r="19" spans="1:13" ht="18" customHeight="1" x14ac:dyDescent="0.25">
      <c r="A19" s="10" t="s">
        <v>84</v>
      </c>
      <c r="B19" s="3" t="s">
        <v>77</v>
      </c>
      <c r="C19" s="3" t="s">
        <v>77</v>
      </c>
      <c r="D19" s="3" t="s">
        <v>77</v>
      </c>
      <c r="E19" s="3">
        <v>2783.5663199999999</v>
      </c>
      <c r="F19" s="3">
        <v>4542.8500000000004</v>
      </c>
      <c r="G19" s="3">
        <v>656.45</v>
      </c>
      <c r="H19" s="3">
        <v>9393.009</v>
      </c>
      <c r="I19" s="3">
        <v>11659.38</v>
      </c>
      <c r="J19" s="3">
        <v>284567.99409499997</v>
      </c>
      <c r="K19" s="3">
        <v>9025.0400000000009</v>
      </c>
      <c r="L19" s="3">
        <v>15355.97134</v>
      </c>
      <c r="M19" s="3">
        <v>15000</v>
      </c>
    </row>
    <row r="20" spans="1:13" ht="18" customHeight="1" x14ac:dyDescent="0.25">
      <c r="A20" s="10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ht="8.1" customHeight="1" x14ac:dyDescent="0.25"/>
    <row r="22" spans="1:13" ht="20.100000000000001" customHeight="1" x14ac:dyDescent="0.25">
      <c r="A22" s="21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</row>
    <row r="23" spans="1:13" ht="18" customHeight="1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1:13" ht="18" customHeight="1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spans="1:13" ht="18" customHeight="1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spans="1:13" ht="18" customHeight="1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ht="8.1" customHeight="1" x14ac:dyDescent="0.25">
      <c r="A27" s="21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</row>
    <row r="28" spans="1:13" ht="20.100000000000001" customHeight="1" x14ac:dyDescent="0.25">
      <c r="A28" s="25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20"/>
    </row>
    <row r="29" spans="1:13" ht="18" customHeight="1" x14ac:dyDescent="0.25">
      <c r="A29" s="10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</row>
    <row r="30" spans="1:13" ht="18" customHeight="1" x14ac:dyDescent="0.25">
      <c r="A30" s="10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</row>
    <row r="31" spans="1:13" ht="18" customHeight="1" x14ac:dyDescent="0.25">
      <c r="A31" s="10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</row>
    <row r="32" spans="1:13" ht="18" customHeight="1" x14ac:dyDescent="0.25">
      <c r="A32" s="10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</row>
  </sheetData>
  <mergeCells count="6">
    <mergeCell ref="A28:M28"/>
    <mergeCell ref="A14:M14"/>
    <mergeCell ref="A1:M1"/>
    <mergeCell ref="A27:M27"/>
    <mergeCell ref="A22:M22"/>
    <mergeCell ref="A7:M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"/>
  <sheetViews>
    <sheetView workbookViewId="0">
      <selection activeCell="G17" sqref="G17"/>
    </sheetView>
  </sheetViews>
  <sheetFormatPr defaultRowHeight="15" x14ac:dyDescent="0.25"/>
  <cols>
    <col min="1" max="1" width="28.42578125" style="14" customWidth="1"/>
    <col min="2" max="2" width="17.7109375" style="14" customWidth="1"/>
    <col min="3" max="3" width="12.5703125" style="14" customWidth="1"/>
    <col min="4" max="4" width="12.140625" style="14" customWidth="1"/>
    <col min="5" max="7" width="12.28515625" style="14" customWidth="1"/>
    <col min="8" max="8" width="14.140625" style="14" customWidth="1"/>
    <col min="9" max="9" width="12.42578125" style="14" customWidth="1"/>
    <col min="10" max="10" width="11.7109375" style="14" customWidth="1"/>
    <col min="11" max="11" width="13.28515625" style="14" customWidth="1"/>
    <col min="12" max="12" width="11.28515625" style="14" customWidth="1"/>
    <col min="13" max="13" width="12.85546875" style="14" customWidth="1"/>
  </cols>
  <sheetData>
    <row r="1" spans="1:13" ht="20.100000000000001" customHeight="1" x14ac:dyDescent="0.25">
      <c r="A1" t="s">
        <v>85</v>
      </c>
    </row>
    <row r="2" spans="1:13" x14ac:dyDescent="0.25">
      <c r="A2" t="s">
        <v>0</v>
      </c>
    </row>
    <row r="5" spans="1:13" x14ac:dyDescent="0.25">
      <c r="B5" t="s">
        <v>6</v>
      </c>
      <c r="C5" t="s">
        <v>10</v>
      </c>
      <c r="D5" t="s">
        <v>14</v>
      </c>
      <c r="E5" t="s">
        <v>17</v>
      </c>
      <c r="F5" t="s">
        <v>21</v>
      </c>
      <c r="G5" t="s">
        <v>25</v>
      </c>
      <c r="H5" t="s">
        <v>29</v>
      </c>
      <c r="I5" t="s">
        <v>33</v>
      </c>
      <c r="J5" t="s">
        <v>37</v>
      </c>
      <c r="K5" t="s">
        <v>41</v>
      </c>
      <c r="L5" t="s">
        <v>45</v>
      </c>
      <c r="M5" t="s">
        <v>46</v>
      </c>
    </row>
    <row r="6" spans="1:13" x14ac:dyDescent="0.25">
      <c r="A6" t="s">
        <v>86</v>
      </c>
      <c r="B6">
        <v>12476.54631329232</v>
      </c>
      <c r="C6">
        <v>12614.2312686328</v>
      </c>
      <c r="D6">
        <v>13618.569806957201</v>
      </c>
      <c r="E6">
        <v>14525.9969986328</v>
      </c>
      <c r="F6">
        <v>15881.925458632801</v>
      </c>
      <c r="G6">
        <v>15962.348838632801</v>
      </c>
      <c r="H6">
        <v>17259.349177632801</v>
      </c>
      <c r="I6">
        <v>18417.126927632798</v>
      </c>
      <c r="J6">
        <v>161024.33705999929</v>
      </c>
      <c r="K6">
        <v>157033.80223999929</v>
      </c>
      <c r="L6">
        <v>160147.60999999999</v>
      </c>
      <c r="M6">
        <v>146360.09</v>
      </c>
    </row>
    <row r="7" spans="1:13" x14ac:dyDescent="0.25">
      <c r="A7" t="s">
        <v>87</v>
      </c>
      <c r="B7">
        <v>13092.89595763816</v>
      </c>
      <c r="C7">
        <v>12476.54631329232</v>
      </c>
      <c r="D7">
        <v>12614.2312686328</v>
      </c>
      <c r="E7">
        <v>13618.569806957201</v>
      </c>
      <c r="F7">
        <v>14525.9969986328</v>
      </c>
      <c r="G7">
        <v>15881.925458632801</v>
      </c>
      <c r="H7">
        <v>15962.348838632801</v>
      </c>
      <c r="I7">
        <v>17259.349177632801</v>
      </c>
      <c r="J7">
        <v>18417.126927632798</v>
      </c>
      <c r="K7">
        <v>161024.33705999929</v>
      </c>
      <c r="L7">
        <v>157033.80223999929</v>
      </c>
      <c r="M7">
        <v>160147.60999999999</v>
      </c>
    </row>
    <row r="8" spans="1:13" x14ac:dyDescent="0.25">
      <c r="A8" t="s">
        <v>88</v>
      </c>
      <c r="B8">
        <v>12476.54631329232</v>
      </c>
      <c r="C8">
        <v>12614.2312686328</v>
      </c>
      <c r="D8">
        <v>13618.569806957201</v>
      </c>
      <c r="E8">
        <v>14525.9969986328</v>
      </c>
      <c r="F8">
        <v>15881.925458632801</v>
      </c>
      <c r="G8">
        <v>15962.348838632801</v>
      </c>
      <c r="H8">
        <v>17259.349177632801</v>
      </c>
      <c r="I8">
        <v>18417.126927632798</v>
      </c>
      <c r="J8">
        <v>161024.33705999929</v>
      </c>
      <c r="K8">
        <v>157033.80223999929</v>
      </c>
      <c r="L8">
        <v>160147.60999999999</v>
      </c>
      <c r="M8">
        <v>146360.09</v>
      </c>
    </row>
    <row r="9" spans="1:13" x14ac:dyDescent="0.25">
      <c r="A9" t="s">
        <v>89</v>
      </c>
      <c r="B9">
        <v>-616.34964434584003</v>
      </c>
      <c r="C9">
        <v>137.68495534048</v>
      </c>
      <c r="D9">
        <v>1004.3385383244</v>
      </c>
      <c r="E9">
        <v>907.42719167560006</v>
      </c>
      <c r="F9">
        <v>1355.9284600000001</v>
      </c>
      <c r="G9">
        <v>80.423379999999995</v>
      </c>
      <c r="H9">
        <v>1297.0003389999999</v>
      </c>
      <c r="I9">
        <v>1157.77775</v>
      </c>
      <c r="J9">
        <v>142607.21013236651</v>
      </c>
      <c r="K9">
        <v>-3990.5348199999999</v>
      </c>
      <c r="L9">
        <v>3113.80776000073</v>
      </c>
      <c r="M9">
        <v>-13787.52</v>
      </c>
    </row>
    <row r="11" spans="1:13" x14ac:dyDescent="0.25">
      <c r="A11" t="s">
        <v>73</v>
      </c>
      <c r="B11">
        <v>-766.34964434584003</v>
      </c>
      <c r="C11">
        <v>37.684955340480002</v>
      </c>
      <c r="D11">
        <v>904.33853832440002</v>
      </c>
      <c r="E11">
        <v>807.42719167560006</v>
      </c>
      <c r="F11">
        <v>1255.9284600000001</v>
      </c>
      <c r="G11">
        <v>-19.576619999999998</v>
      </c>
      <c r="H11">
        <v>1151.420339</v>
      </c>
      <c r="I11">
        <v>1086.78775</v>
      </c>
      <c r="J11">
        <v>1012.46006236647</v>
      </c>
      <c r="K11">
        <v>955.90517999999997</v>
      </c>
      <c r="L11">
        <v>3113.80776000073</v>
      </c>
      <c r="M11">
        <v>1212.48</v>
      </c>
    </row>
    <row r="12" spans="1:13" x14ac:dyDescent="0.25">
      <c r="A12" t="s">
        <v>74</v>
      </c>
      <c r="B12">
        <v>-5.79</v>
      </c>
      <c r="C12">
        <v>0.3</v>
      </c>
      <c r="D12">
        <v>7.11</v>
      </c>
      <c r="E12">
        <v>5.89</v>
      </c>
      <c r="F12">
        <v>8.59</v>
      </c>
      <c r="G12">
        <v>-0.12</v>
      </c>
      <c r="H12">
        <v>7.15</v>
      </c>
      <c r="I12">
        <v>6.27</v>
      </c>
      <c r="J12">
        <v>0.63</v>
      </c>
      <c r="K12">
        <v>0.61</v>
      </c>
      <c r="L12">
        <v>1.98</v>
      </c>
      <c r="M12">
        <v>0.84</v>
      </c>
    </row>
    <row r="13" spans="1:13" x14ac:dyDescent="0.25">
      <c r="A13" t="s">
        <v>76</v>
      </c>
      <c r="B13" t="s">
        <v>77</v>
      </c>
      <c r="C13" t="s">
        <v>77</v>
      </c>
      <c r="D13" t="s">
        <v>77</v>
      </c>
      <c r="E13">
        <v>-346.08243679999998</v>
      </c>
      <c r="F13">
        <v>-5.92</v>
      </c>
      <c r="G13">
        <v>-76.55</v>
      </c>
      <c r="H13">
        <v>895.32047999999998</v>
      </c>
      <c r="I13">
        <v>557.30514136015995</v>
      </c>
      <c r="J13">
        <v>953.77475945676997</v>
      </c>
      <c r="K13">
        <v>330.04</v>
      </c>
      <c r="L13">
        <v>-78.917240257659998</v>
      </c>
      <c r="M13" t="s">
        <v>77</v>
      </c>
    </row>
    <row r="14" spans="1:13" x14ac:dyDescent="0.25">
      <c r="A14" t="s">
        <v>75</v>
      </c>
      <c r="B14">
        <v>-770.24964434584001</v>
      </c>
      <c r="C14">
        <v>35.304955340479999</v>
      </c>
      <c r="D14">
        <v>901.24853832439999</v>
      </c>
      <c r="E14">
        <v>607.24562000000003</v>
      </c>
      <c r="F14">
        <v>1225.6984600000001</v>
      </c>
      <c r="G14">
        <v>-112.75662</v>
      </c>
      <c r="H14">
        <v>893.48659899999996</v>
      </c>
      <c r="I14">
        <v>1009.8747499999999</v>
      </c>
      <c r="J14">
        <v>1086.7366197423401</v>
      </c>
      <c r="K14">
        <v>-264.53482000000002</v>
      </c>
      <c r="L14">
        <v>2909.2300000007299</v>
      </c>
      <c r="M14">
        <v>997.25</v>
      </c>
    </row>
    <row r="15" spans="1:13" x14ac:dyDescent="0.25">
      <c r="A15" t="s">
        <v>90</v>
      </c>
      <c r="B15" t="s">
        <v>77</v>
      </c>
      <c r="C15" t="s">
        <v>77</v>
      </c>
      <c r="D15" t="s">
        <v>77</v>
      </c>
      <c r="E15">
        <v>191.01157167560001</v>
      </c>
      <c r="F15">
        <v>20.440000000000001</v>
      </c>
      <c r="G15">
        <v>89.2</v>
      </c>
      <c r="H15">
        <v>254.40374</v>
      </c>
      <c r="I15">
        <v>76.043000000000006</v>
      </c>
      <c r="J15">
        <v>-625.98655737587001</v>
      </c>
      <c r="K15">
        <v>197.28</v>
      </c>
      <c r="L15">
        <v>165.63775999999999</v>
      </c>
      <c r="M15" t="s">
        <v>77</v>
      </c>
    </row>
    <row r="16" spans="1:13" x14ac:dyDescent="0.25">
      <c r="A16" t="s">
        <v>78</v>
      </c>
      <c r="B16">
        <v>3.9</v>
      </c>
      <c r="C16">
        <v>2.38</v>
      </c>
      <c r="D16">
        <v>3.09</v>
      </c>
      <c r="E16">
        <v>9.17</v>
      </c>
      <c r="F16">
        <v>9.7899999999999991</v>
      </c>
      <c r="G16">
        <v>3.98</v>
      </c>
      <c r="H16">
        <v>3.53</v>
      </c>
      <c r="I16">
        <v>0.97</v>
      </c>
      <c r="J16">
        <v>551.71</v>
      </c>
      <c r="K16">
        <v>1023.16</v>
      </c>
      <c r="L16">
        <v>38.94</v>
      </c>
      <c r="M16">
        <v>215.23</v>
      </c>
    </row>
    <row r="17" spans="1:13" x14ac:dyDescent="0.25">
      <c r="A17" t="s">
        <v>91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</row>
    <row r="18" spans="1:13" x14ac:dyDescent="0.25">
      <c r="A18" t="s">
        <v>92</v>
      </c>
      <c r="B18" t="s">
        <v>77</v>
      </c>
      <c r="C18" t="s">
        <v>77</v>
      </c>
      <c r="D18" t="s">
        <v>77</v>
      </c>
      <c r="E18" t="s">
        <v>77</v>
      </c>
      <c r="F18" t="s">
        <v>77</v>
      </c>
      <c r="G18" t="s">
        <v>77</v>
      </c>
      <c r="H18" t="s">
        <v>77</v>
      </c>
      <c r="I18">
        <v>-0.1</v>
      </c>
      <c r="J18" t="s">
        <v>77</v>
      </c>
      <c r="K18" t="s">
        <v>77</v>
      </c>
      <c r="L18" t="s">
        <v>77</v>
      </c>
      <c r="M18" t="s">
        <v>77</v>
      </c>
    </row>
    <row r="19" spans="1:13" x14ac:dyDescent="0.25">
      <c r="A19" t="s">
        <v>93</v>
      </c>
      <c r="B19" t="s">
        <v>77</v>
      </c>
      <c r="C19" t="s">
        <v>77</v>
      </c>
      <c r="D19" t="s">
        <v>77</v>
      </c>
      <c r="E19" t="s">
        <v>77</v>
      </c>
      <c r="F19" t="s">
        <v>77</v>
      </c>
      <c r="G19" t="s">
        <v>77</v>
      </c>
      <c r="H19" t="s">
        <v>77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</row>
    <row r="21" spans="1:13" x14ac:dyDescent="0.25">
      <c r="A21" t="s">
        <v>94</v>
      </c>
      <c r="B21">
        <v>153.9</v>
      </c>
      <c r="C21">
        <v>102.38</v>
      </c>
      <c r="D21">
        <v>103.09</v>
      </c>
      <c r="E21">
        <v>5676.2963200000004</v>
      </c>
      <c r="F21">
        <v>9195.49</v>
      </c>
      <c r="G21">
        <v>1416.88</v>
      </c>
      <c r="H21">
        <v>25710.837841</v>
      </c>
      <c r="I21">
        <v>15264.893050000001</v>
      </c>
      <c r="J21">
        <v>715296.26652763353</v>
      </c>
      <c r="K21">
        <v>14126.86</v>
      </c>
      <c r="L21">
        <v>28551.38134</v>
      </c>
      <c r="M21">
        <v>15215.23</v>
      </c>
    </row>
    <row r="22" spans="1:13" x14ac:dyDescent="0.25">
      <c r="A22" t="s">
        <v>83</v>
      </c>
      <c r="B22">
        <v>153.9</v>
      </c>
      <c r="C22">
        <v>102.38</v>
      </c>
      <c r="D22">
        <v>103.09</v>
      </c>
      <c r="E22">
        <v>2892.73</v>
      </c>
      <c r="F22">
        <v>4652.6400000000003</v>
      </c>
      <c r="G22">
        <v>760.43</v>
      </c>
      <c r="H22">
        <v>16317.828841</v>
      </c>
      <c r="I22">
        <v>3605.51305</v>
      </c>
      <c r="J22">
        <v>430728.2724326335</v>
      </c>
      <c r="K22">
        <v>5101.82</v>
      </c>
      <c r="L22">
        <v>13195.41</v>
      </c>
      <c r="M22">
        <v>215.23</v>
      </c>
    </row>
    <row r="23" spans="1:13" x14ac:dyDescent="0.25">
      <c r="A23" t="s">
        <v>84</v>
      </c>
      <c r="B23" t="s">
        <v>77</v>
      </c>
      <c r="C23" t="s">
        <v>77</v>
      </c>
      <c r="D23" t="s">
        <v>77</v>
      </c>
      <c r="E23">
        <v>2783.5663199999999</v>
      </c>
      <c r="F23">
        <v>4542.8500000000004</v>
      </c>
      <c r="G23">
        <v>656.45</v>
      </c>
      <c r="H23">
        <v>9393.009</v>
      </c>
      <c r="I23">
        <v>11659.38</v>
      </c>
      <c r="J23">
        <v>284567.99409499997</v>
      </c>
      <c r="K23">
        <v>9025.0400000000009</v>
      </c>
      <c r="L23">
        <v>15355.97134</v>
      </c>
      <c r="M23">
        <v>15000</v>
      </c>
    </row>
    <row r="25" spans="1:13" x14ac:dyDescent="0.25">
      <c r="A25" t="s">
        <v>80</v>
      </c>
      <c r="B25">
        <v>6</v>
      </c>
      <c r="C25">
        <v>5</v>
      </c>
      <c r="D25">
        <v>4</v>
      </c>
      <c r="E25">
        <v>14</v>
      </c>
      <c r="F25">
        <v>14</v>
      </c>
      <c r="G25">
        <v>5</v>
      </c>
      <c r="H25">
        <v>31</v>
      </c>
      <c r="I25">
        <v>19</v>
      </c>
      <c r="J25">
        <v>123</v>
      </c>
      <c r="K25">
        <v>16</v>
      </c>
      <c r="L25">
        <v>10</v>
      </c>
      <c r="M25">
        <v>2</v>
      </c>
    </row>
    <row r="26" spans="1:13" x14ac:dyDescent="0.25">
      <c r="A26" t="s">
        <v>81</v>
      </c>
      <c r="B26">
        <v>6</v>
      </c>
      <c r="C26">
        <v>5</v>
      </c>
      <c r="D26">
        <v>4</v>
      </c>
      <c r="E26">
        <v>8</v>
      </c>
      <c r="F26">
        <v>10</v>
      </c>
      <c r="G26">
        <v>4</v>
      </c>
      <c r="H26">
        <v>21</v>
      </c>
      <c r="I26">
        <v>8</v>
      </c>
      <c r="J26">
        <v>63</v>
      </c>
      <c r="K26">
        <v>13</v>
      </c>
      <c r="L26">
        <v>3</v>
      </c>
      <c r="M26">
        <v>1</v>
      </c>
    </row>
    <row r="27" spans="1:13" x14ac:dyDescent="0.25">
      <c r="A27" t="s">
        <v>82</v>
      </c>
      <c r="B27" t="s">
        <v>77</v>
      </c>
      <c r="C27" t="s">
        <v>77</v>
      </c>
      <c r="D27" t="s">
        <v>77</v>
      </c>
      <c r="E27">
        <v>6</v>
      </c>
      <c r="F27">
        <v>4</v>
      </c>
      <c r="G27">
        <v>1</v>
      </c>
      <c r="H27">
        <v>10</v>
      </c>
      <c r="I27">
        <v>11</v>
      </c>
      <c r="J27">
        <v>60</v>
      </c>
      <c r="K27">
        <v>3</v>
      </c>
      <c r="L27">
        <v>7</v>
      </c>
      <c r="M27">
        <v>1</v>
      </c>
    </row>
    <row r="29" spans="1:13" x14ac:dyDescent="0.25">
      <c r="A29" t="s">
        <v>95</v>
      </c>
      <c r="B29">
        <v>464.35349863279998</v>
      </c>
      <c r="C29">
        <v>464.35349863279998</v>
      </c>
      <c r="D29">
        <v>464.35349863279998</v>
      </c>
      <c r="E29">
        <v>464.3598186328</v>
      </c>
      <c r="F29">
        <v>464.3598186328</v>
      </c>
      <c r="G29">
        <v>464.3598186328</v>
      </c>
      <c r="H29">
        <v>-6311.3500223671999</v>
      </c>
      <c r="I29">
        <v>1814.3769276328001</v>
      </c>
      <c r="J29">
        <v>-2199.4413400007302</v>
      </c>
      <c r="K29">
        <v>-2199.5013400007301</v>
      </c>
      <c r="L29" t="s">
        <v>77</v>
      </c>
      <c r="M29" t="s">
        <v>77</v>
      </c>
    </row>
    <row r="30" spans="1:13" x14ac:dyDescent="0.25">
      <c r="A30" t="s">
        <v>96</v>
      </c>
      <c r="B30">
        <v>150</v>
      </c>
      <c r="C30">
        <v>100</v>
      </c>
      <c r="D30">
        <v>100</v>
      </c>
      <c r="E30">
        <v>100</v>
      </c>
      <c r="F30">
        <v>100</v>
      </c>
      <c r="G30">
        <v>100</v>
      </c>
      <c r="H30">
        <v>150</v>
      </c>
      <c r="I30">
        <v>100</v>
      </c>
      <c r="J30">
        <v>141594.75007000001</v>
      </c>
      <c r="K30">
        <v>53.56</v>
      </c>
      <c r="L30" t="s">
        <v>77</v>
      </c>
      <c r="M30" t="s">
        <v>77</v>
      </c>
    </row>
    <row r="31" spans="1:13" x14ac:dyDescent="0.25">
      <c r="A31" t="s">
        <v>97</v>
      </c>
      <c r="B31" t="s">
        <v>77</v>
      </c>
      <c r="C31" t="s">
        <v>77</v>
      </c>
      <c r="D31" t="s">
        <v>77</v>
      </c>
      <c r="E31" t="s">
        <v>77</v>
      </c>
      <c r="F31" t="s">
        <v>77</v>
      </c>
      <c r="G31" t="s">
        <v>77</v>
      </c>
      <c r="H31">
        <v>4.42</v>
      </c>
      <c r="I31">
        <v>29.01</v>
      </c>
      <c r="J31" t="s">
        <v>77</v>
      </c>
      <c r="K31">
        <v>5000</v>
      </c>
      <c r="L31" t="s">
        <v>77</v>
      </c>
      <c r="M31">
        <v>15000</v>
      </c>
    </row>
    <row r="32" spans="1:13" x14ac:dyDescent="0.25">
      <c r="A32" t="s">
        <v>98</v>
      </c>
      <c r="B32">
        <v>464.35349863279998</v>
      </c>
      <c r="C32">
        <v>464.35349863279998</v>
      </c>
      <c r="D32">
        <v>464.35349863279998</v>
      </c>
      <c r="E32">
        <v>464.3598186328</v>
      </c>
      <c r="F32">
        <v>464.3598186328</v>
      </c>
      <c r="G32">
        <v>464.3598186328</v>
      </c>
      <c r="H32">
        <v>-6311.3500223671999</v>
      </c>
      <c r="I32">
        <v>1814.3769276328001</v>
      </c>
      <c r="J32">
        <v>-2199.4413400007302</v>
      </c>
      <c r="K32">
        <v>-2199.5013400007301</v>
      </c>
      <c r="L32" t="s">
        <v>77</v>
      </c>
      <c r="M32" t="s">
        <v>77</v>
      </c>
    </row>
    <row r="35" spans="1:13" x14ac:dyDescent="0.25">
      <c r="A35" t="s">
        <v>99</v>
      </c>
      <c r="B35">
        <v>-769.37810065521955</v>
      </c>
      <c r="C35">
        <v>-68.270035927754918</v>
      </c>
      <c r="D35">
        <v>793.13988804330393</v>
      </c>
      <c r="E35">
        <v>660.59237615768734</v>
      </c>
      <c r="F35">
        <v>377.42075609313258</v>
      </c>
      <c r="G35">
        <v>327.12559750243253</v>
      </c>
      <c r="H35">
        <v>525.49584126930733</v>
      </c>
      <c r="I35">
        <v>459.84793471117911</v>
      </c>
      <c r="J35">
        <v>117.9434947670657</v>
      </c>
      <c r="K35">
        <v>-347.65983877129469</v>
      </c>
      <c r="L35">
        <v>2773.2843740853932</v>
      </c>
      <c r="M35">
        <v>-209.11989751185351</v>
      </c>
    </row>
    <row r="36" spans="1:13" x14ac:dyDescent="0.25">
      <c r="A36" t="s">
        <v>100</v>
      </c>
      <c r="B36">
        <v>-5.81</v>
      </c>
      <c r="C36">
        <v>-0.54</v>
      </c>
      <c r="D36">
        <v>6.24</v>
      </c>
      <c r="E36">
        <v>4.82</v>
      </c>
      <c r="F36">
        <v>2.57</v>
      </c>
      <c r="G36">
        <v>2.0499999999999998</v>
      </c>
      <c r="H36">
        <v>3.26</v>
      </c>
      <c r="I36">
        <v>2.65</v>
      </c>
      <c r="J36">
        <v>7.0000000000000007E-2</v>
      </c>
      <c r="K36">
        <v>-0.22</v>
      </c>
      <c r="L36">
        <v>1.76</v>
      </c>
      <c r="M36">
        <v>-0.14000000000000001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Monthly Performance</vt:lpstr>
      <vt:lpstr>Data Source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Aladdin Zahran</cp:lastModifiedBy>
  <dcterms:created xsi:type="dcterms:W3CDTF">2026-02-07T22:59:48Z</dcterms:created>
  <dcterms:modified xsi:type="dcterms:W3CDTF">2026-02-08T14:50:29Z</dcterms:modified>
</cp:coreProperties>
</file>