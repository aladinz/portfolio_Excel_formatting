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onthly Performance" sheetId="2" state="visible" r:id="rId2"/>
    <sheet xmlns:r="http://schemas.openxmlformats.org/officeDocument/2006/relationships" name="Data Sourc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\$#,##0.00"/>
  </numFmts>
  <fonts count="18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i val="1"/>
      <sz val="10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sz val="10"/>
    </font>
    <font>
      <name val="Calibri"/>
      <b val="1"/>
      <sz val="11"/>
    </font>
    <font>
      <name val="Calibri"/>
      <sz val="10"/>
    </font>
    <font>
      <name val="Calibri"/>
      <b val="1"/>
      <color rgb="FFFFFFFF"/>
      <sz val="14"/>
    </font>
    <font>
      <b val="1"/>
      <color rgb="00FFFFFF"/>
      <sz val="16"/>
    </font>
    <font>
      <i val="1"/>
      <sz val="10"/>
    </font>
    <font>
      <b val="1"/>
      <color rgb="00FFFFFF"/>
      <sz val="11"/>
    </font>
    <font>
      <b val="1"/>
      <color rgb="00FFFFFF"/>
      <sz val="12"/>
    </font>
    <font>
      <b val="1"/>
      <sz val="10"/>
    </font>
    <font>
      <b val="1"/>
      <sz val="11"/>
    </font>
    <font>
      <sz val="10"/>
    </font>
    <font>
      <b val="1"/>
      <color rgb="00FFFFFF"/>
      <sz val="14"/>
    </font>
    <font>
      <b val="1"/>
      <color rgb="00FFFFFF"/>
      <sz val="9"/>
    </font>
  </fonts>
  <fills count="22">
    <fill>
      <patternFill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4472C4"/>
        <bgColor rgb="FF4472C4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F4B084"/>
        <bgColor rgb="FFF4B084"/>
      </patternFill>
    </fill>
    <fill>
      <patternFill patternType="solid">
        <fgColor rgb="FFF1DCDB"/>
        <bgColor rgb="FFF1DCDB"/>
      </patternFill>
    </fill>
    <fill>
      <patternFill patternType="solid">
        <fgColor rgb="001F4788"/>
        <bgColor rgb="001F4788"/>
      </patternFill>
    </fill>
    <fill>
      <patternFill patternType="solid">
        <fgColor rgb="004472C4"/>
        <bgColor rgb="004472C4"/>
      </patternFill>
    </fill>
    <fill>
      <patternFill patternType="solid">
        <fgColor rgb="00D9E1F2"/>
        <bgColor rgb="00D9E1F2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4B084"/>
        <bgColor rgb="00F4B084"/>
      </patternFill>
    </fill>
    <fill>
      <patternFill patternType="solid">
        <fgColor rgb="00F1DCDB"/>
        <bgColor rgb="00F1DCDB"/>
      </patternFill>
    </fill>
    <fill>
      <patternFill patternType="solid">
        <fgColor rgb="00595959"/>
        <bgColor rgb="00595959"/>
      </patternFill>
    </fill>
    <fill>
      <patternFill patternType="solid">
        <fgColor rgb="0070AD47"/>
        <bgColor rgb="0070AD47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right" vertical="center"/>
    </xf>
    <xf numFmtId="0" fontId="7" fillId="6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right" vertical="center"/>
    </xf>
    <xf numFmtId="0" fontId="0" fillId="7" borderId="1" applyAlignment="1" pivotButton="0" quotePrefix="0" xfId="0">
      <alignment horizontal="right" vertical="center"/>
    </xf>
    <xf numFmtId="0" fontId="0" fillId="8" borderId="1" applyAlignment="1" pivotButton="0" quotePrefix="0" xfId="0">
      <alignment horizontal="right" vertical="center"/>
    </xf>
    <xf numFmtId="0" fontId="0" fillId="9" borderId="1" applyAlignment="1" pivotButton="0" quotePrefix="0" xfId="0">
      <alignment horizontal="right" vertical="center"/>
    </xf>
    <xf numFmtId="0" fontId="0" fillId="10" borderId="1" applyAlignment="1" pivotButton="0" quotePrefix="0" xfId="0">
      <alignment horizontal="right" vertical="center"/>
    </xf>
    <xf numFmtId="164" fontId="0" fillId="5" borderId="1" applyAlignment="1" pivotButton="0" quotePrefix="0" xfId="0">
      <alignment horizontal="right" vertical="center"/>
    </xf>
    <xf numFmtId="10" fontId="0" fillId="5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0" fillId="8" borderId="1" pivotButton="0" quotePrefix="0" xfId="0"/>
    <xf numFmtId="0" fontId="0" fillId="9" borderId="1" pivotButton="0" quotePrefix="0" xfId="0"/>
    <xf numFmtId="0" fontId="7" fillId="8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left" vertical="top" wrapText="1"/>
    </xf>
    <xf numFmtId="0" fontId="0" fillId="0" borderId="1" pivotButton="0" quotePrefix="0" xfId="0"/>
    <xf numFmtId="0" fontId="3" fillId="3" borderId="1" applyAlignment="1" pivotButton="0" quotePrefix="0" xfId="0">
      <alignment horizontal="left" vertical="center" wrapText="1"/>
    </xf>
    <xf numFmtId="0" fontId="3" fillId="3" borderId="1" pivotButton="0" quotePrefix="0" xfId="0"/>
    <xf numFmtId="0" fontId="7" fillId="8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8" fillId="2" borderId="0" applyAlignment="1" pivotButton="0" quotePrefix="0" xfId="0">
      <alignment horizontal="left" vertical="center" wrapText="1"/>
    </xf>
    <xf numFmtId="0" fontId="9" fillId="11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12" borderId="0" applyAlignment="1" pivotButton="0" quotePrefix="0" xfId="0">
      <alignment horizontal="left" vertical="center"/>
    </xf>
    <xf numFmtId="0" fontId="12" fillId="11" borderId="2" applyAlignment="1" pivotButton="0" quotePrefix="0" xfId="0">
      <alignment horizontal="center" vertical="center" wrapText="1"/>
    </xf>
    <xf numFmtId="0" fontId="13" fillId="13" borderId="2" applyAlignment="1" pivotButton="0" quotePrefix="0" xfId="0">
      <alignment horizontal="left" vertical="center" wrapText="1"/>
    </xf>
    <xf numFmtId="0" fontId="14" fillId="14" borderId="2" applyAlignment="1" pivotButton="0" quotePrefix="0" xfId="0">
      <alignment horizontal="right" vertical="center"/>
    </xf>
    <xf numFmtId="0" fontId="15" fillId="15" borderId="2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13" fillId="13" borderId="2" applyAlignment="1" pivotButton="0" quotePrefix="0" xfId="0">
      <alignment horizontal="left" vertical="center"/>
    </xf>
    <xf numFmtId="0" fontId="7" fillId="16" borderId="2" applyAlignment="1" pivotButton="0" quotePrefix="0" xfId="0">
      <alignment horizontal="left" vertical="center"/>
    </xf>
    <xf numFmtId="0" fontId="16" fillId="11" borderId="0" applyAlignment="1" pivotButton="0" quotePrefix="0" xfId="0">
      <alignment horizontal="left" vertical="center" wrapText="1"/>
    </xf>
    <xf numFmtId="0" fontId="13" fillId="13" borderId="2" applyAlignment="1" pivotButton="0" quotePrefix="0" xfId="0">
      <alignment horizontal="right" vertical="center"/>
    </xf>
    <xf numFmtId="0" fontId="0" fillId="14" borderId="2" applyAlignment="1" pivotButton="0" quotePrefix="0" xfId="0">
      <alignment horizontal="right" vertical="center"/>
    </xf>
    <xf numFmtId="0" fontId="0" fillId="16" borderId="2" applyAlignment="1" pivotButton="0" quotePrefix="0" xfId="0">
      <alignment horizontal="right" vertical="center"/>
    </xf>
    <xf numFmtId="0" fontId="0" fillId="17" borderId="2" applyAlignment="1" pivotButton="0" quotePrefix="0" xfId="0">
      <alignment horizontal="right" vertical="center"/>
    </xf>
    <xf numFmtId="0" fontId="0" fillId="18" borderId="2" applyAlignment="1" pivotButton="0" quotePrefix="0" xfId="0">
      <alignment horizontal="right" vertical="center"/>
    </xf>
    <xf numFmtId="0" fontId="0" fillId="19" borderId="2" applyAlignment="1" pivotButton="0" quotePrefix="0" xfId="0">
      <alignment horizontal="right" vertical="center"/>
    </xf>
    <xf numFmtId="164" fontId="0" fillId="14" borderId="2" applyAlignment="1" pivotButton="0" quotePrefix="0" xfId="0">
      <alignment horizontal="right" vertical="center"/>
    </xf>
    <xf numFmtId="10" fontId="0" fillId="14" borderId="2" applyAlignment="1" pivotButton="0" quotePrefix="0" xfId="0">
      <alignment horizontal="right" vertical="center"/>
    </xf>
    <xf numFmtId="0" fontId="17" fillId="20" borderId="2" applyAlignment="1" pivotButton="0" quotePrefix="0" xfId="0">
      <alignment horizontal="center" vertical="center"/>
    </xf>
    <xf numFmtId="0" fontId="11" fillId="21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Portfolio Growth - 12 Month Progression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'Executive Summary'!$H$3</f>
              <strCache>
                <ptCount val="1"/>
                <pt idx="0">
                  <v>Portfolio Value</v>
                </pt>
              </strCache>
            </strRef>
          </tx>
          <spPr>
            <a:ln xmlns:a="http://schemas.openxmlformats.org/drawingml/2006/main" w="25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'Executive Summary'!$G$4:$G$15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Summary'!$H$4:$H$15</f>
              <numCache>
                <formatCode>General</formatCode>
                <ptCount val="12"/>
                <pt idx="0">
                  <v>219277.02</v>
                </pt>
                <pt idx="1">
                  <v>219347.69</v>
                </pt>
                <pt idx="2">
                  <v>219420.36</v>
                </pt>
                <pt idx="3">
                  <v>219490.92</v>
                </pt>
                <pt idx="4">
                  <v>219564.41</v>
                </pt>
                <pt idx="5">
                  <v>224287.16</v>
                </pt>
                <pt idx="6">
                  <v>224393.65</v>
                </pt>
                <pt idx="7">
                  <v>224501.31</v>
                </pt>
                <pt idx="8">
                  <v>683019.79</v>
                </pt>
                <pt idx="9">
                  <v>666733.95</v>
                </pt>
                <pt idx="10">
                  <v>675596.4300000001</v>
                </pt>
                <pt idx="11">
                  <v>681841.0600000001</v>
                </pt>
              </numCache>
            </numRef>
          </val>
          <smooth val="1"/>
        </ser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Portfolio Value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Returns - 12 Month Performance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'Executive Summary'!$K$3</f>
              <strCache>
                <ptCount val="1"/>
                <pt idx="0">
                  <v>Monthly Profit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invertIfNegative val="1"/>
          <cat>
            <strRef>
              <f>'Executive Summary'!$J$4:$J$15</f>
              <strCache>
                <ptCount val="12"/>
                <pt idx="0">
                  <v>Mar 25</v>
                </pt>
                <pt idx="1">
                  <v>Apr 25</v>
                </pt>
                <pt idx="2">
                  <v>May 25</v>
                </pt>
                <pt idx="3">
                  <v>Jun 25</v>
                </pt>
                <pt idx="4">
                  <v>Jul 25</v>
                </pt>
                <pt idx="5">
                  <v>Aug 25</v>
                </pt>
                <pt idx="6">
                  <v>Sep 25</v>
                </pt>
                <pt idx="7">
                  <v>Oct 25</v>
                </pt>
                <pt idx="8">
                  <v>Nov 25</v>
                </pt>
                <pt idx="9">
                  <v>Dec 25</v>
                </pt>
                <pt idx="10">
                  <v>Jan 26</v>
                </pt>
                <pt idx="11">
                  <v>Feb 26</v>
                </pt>
              </strCache>
            </strRef>
          </cat>
          <val>
            <numRef>
              <f>'Executive Summary'!$K$4:$K$15</f>
              <numCache>
                <formatCode>General</formatCode>
                <ptCount val="12"/>
                <pt idx="0">
                  <v>72.69</v>
                </pt>
                <pt idx="1">
                  <v>70.67</v>
                </pt>
                <pt idx="2">
                  <v>72.67</v>
                </pt>
                <pt idx="3">
                  <v>70.56</v>
                </pt>
                <pt idx="4">
                  <v>73.48999999999999</v>
                </pt>
                <pt idx="5">
                  <v>4722.75</v>
                </pt>
                <pt idx="6">
                  <v>106.49</v>
                </pt>
                <pt idx="7">
                  <v>107.66</v>
                </pt>
                <pt idx="8">
                  <v>2904.43</v>
                </pt>
                <pt idx="9">
                  <v>1524.73</v>
                </pt>
                <pt idx="10">
                  <v>8862.48</v>
                </pt>
                <pt idx="11">
                  <v>6244.63</v>
                </pt>
              </numCache>
            </numRef>
          </val>
          <dLbls>
            <showLegendKey val="0"/>
            <showVal val="1"/>
            <showCatName val="0"/>
            <dLbl>
              <idx val="10"/>
              <showVal val="1"/>
            </dLbl>
          </dLbls>
        </ser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Profit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Summary'!L3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Summary'!$L$4:$L$15</f>
            </numRef>
          </val>
        </ser>
        <ser>
          <idx val="1"/>
          <order val="1"/>
          <tx>
            <strRef>
              <f>'Executive Summary'!M3</f>
            </strRef>
          </tx>
          <spPr>
            <a:solidFill xmlns:a="http://schemas.openxmlformats.org/drawingml/2006/main">
              <a:srgbClr val="C5504F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Summary'!$M$4:$M$15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Growth - 12 Month Progression</a:t>
            </a:r>
          </a:p>
        </rich>
      </tx>
    </title>
    <plotArea>
      <lineChart>
        <grouping val="standard"/>
        <ser>
          <idx val="0"/>
          <order val="0"/>
          <tx>
            <strRef>
              <f>'Executive Summary'!H3</f>
            </strRef>
          </tx>
          <spPr>
            <a:ln xmlns:a="http://schemas.openxmlformats.org/drawingml/2006/main" w="30000">
              <a:solidFill>
                <a:srgbClr val="1F478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'Executive Summary'!$G$4:$G$15</f>
            </numRef>
          </cat>
          <val>
            <numRef>
              <f>'Executive Summary'!$H$4:$H$15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Portfolio Value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Returns - 12 Month Performance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Summary'!K3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cat>
            <numRef>
              <f>'Executive Summary'!$J$4:$J$15</f>
            </numRef>
          </cat>
          <val>
            <numRef>
              <f>'Executive Summary'!$K$4:$K$15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Profit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/Relationships>
</file>

<file path=xl/drawings/drawing1.xml><?xml version="1.0" encoding="utf-8"?>
<wsDr xmlns="http://schemas.openxmlformats.org/drawingml/2006/spreadsheetDrawing">
  <oneCellAnchor>
    <from>
      <col>4</col>
      <colOff>1200149</colOff>
      <row>0</row>
      <rowOff>0</rowOff>
    </from>
    <ext cx="5781675" cy="386715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1200149</colOff>
      <row>19</row>
      <rowOff>161925</rowOff>
    </from>
    <ext cx="5800725" cy="38381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5</col>
      <colOff>0</colOff>
      <row>0</row>
      <rowOff>0</rowOff>
    </from>
    <ext cx="5760000" cy="36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5</col>
      <colOff>0</colOff>
      <row>19</row>
      <rowOff>0</rowOff>
    </from>
    <ext cx="5760000" cy="36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tabSelected="1" workbookViewId="0">
      <selection activeCell="P17" sqref="P17"/>
    </sheetView>
  </sheetViews>
  <sheetFormatPr baseColWidth="8" defaultRowHeight="15"/>
  <cols>
    <col width="28" customWidth="1" style="26" min="1" max="1"/>
    <col width="45" customWidth="1" style="26" min="2" max="5"/>
    <col width="20" customWidth="1" style="26" min="3" max="3"/>
    <col width="15" customWidth="1" style="26" min="4" max="4"/>
    <col width="15" customWidth="1" style="26" min="5" max="5"/>
  </cols>
  <sheetData>
    <row r="1" ht="30" customHeight="1" s="26">
      <c r="A1" s="28" t="inlineStr">
        <is>
          <t>TRADITIONAL IRA PORTFOLIO REPORT</t>
        </is>
      </c>
    </row>
    <row r="2" ht="18" customHeight="1" s="26">
      <c r="A2" s="29" t="inlineStr">
        <is>
          <t>Report Generated: February 7, 2026</t>
        </is>
      </c>
    </row>
    <row r="3" ht="8" customHeight="1" s="26">
      <c r="G3" t="inlineStr">
        <is>
          <t>Month</t>
        </is>
      </c>
      <c r="H3" t="inlineStr">
        <is>
          <t>Portfolio Value</t>
        </is>
      </c>
      <c r="J3" t="inlineStr">
        <is>
          <t>Month</t>
        </is>
      </c>
      <c r="K3" t="inlineStr">
        <is>
          <t>Monthly Profit</t>
        </is>
      </c>
      <c r="L3" t="inlineStr">
        <is>
          <t>Gains</t>
        </is>
      </c>
      <c r="M3" t="inlineStr">
        <is>
          <t>Losses</t>
        </is>
      </c>
    </row>
    <row r="4" ht="22" customHeight="1" s="26">
      <c r="A4" s="30" t="inlineStr">
        <is>
          <t>KEY PERFORMANCE INDICATORS</t>
        </is>
      </c>
      <c r="G4" t="inlineStr">
        <is>
          <t>Mar 25</t>
        </is>
      </c>
      <c r="H4" t="n">
        <v>219277.02</v>
      </c>
      <c r="J4" t="inlineStr">
        <is>
          <t>Mar 25</t>
        </is>
      </c>
      <c r="K4" t="n">
        <v>72.69</v>
      </c>
      <c r="L4" t="n">
        <v>72.69</v>
      </c>
      <c r="M4" t="n">
        <v>0</v>
      </c>
    </row>
    <row r="5" ht="20" customHeight="1" s="26">
      <c r="A5" s="31" t="inlineStr">
        <is>
          <t>Metric</t>
        </is>
      </c>
      <c r="B5" s="31" t="inlineStr">
        <is>
          <t>Value</t>
        </is>
      </c>
      <c r="C5" s="31" t="inlineStr">
        <is>
          <t>Details</t>
        </is>
      </c>
      <c r="G5" t="inlineStr">
        <is>
          <t>Apr 25</t>
        </is>
      </c>
      <c r="H5" t="n">
        <v>219347.69</v>
      </c>
      <c r="J5" t="inlineStr">
        <is>
          <t>Apr 25</t>
        </is>
      </c>
      <c r="K5" t="n">
        <v>70.67</v>
      </c>
      <c r="L5" t="n">
        <v>70.67</v>
      </c>
      <c r="M5" t="n">
        <v>0</v>
      </c>
    </row>
    <row r="6" ht="18" customHeight="1" s="26">
      <c r="A6" s="32" t="inlineStr">
        <is>
          <t>Total Portfolio Growth</t>
        </is>
      </c>
      <c r="B6" s="33" t="inlineStr">
        <is>
          <t>$462,636.73</t>
        </is>
      </c>
      <c r="C6" s="34" t="inlineStr">
        <is>
          <t>211.05% increase</t>
        </is>
      </c>
      <c r="D6" s="21" t="n"/>
      <c r="E6" s="21" t="n"/>
      <c r="G6" t="inlineStr">
        <is>
          <t>May 25</t>
        </is>
      </c>
      <c r="H6" t="n">
        <v>219420.36</v>
      </c>
      <c r="J6" t="inlineStr">
        <is>
          <t>May 25</t>
        </is>
      </c>
      <c r="K6" t="n">
        <v>72.67</v>
      </c>
      <c r="L6" t="n">
        <v>72.67</v>
      </c>
      <c r="M6" t="n">
        <v>0</v>
      </c>
    </row>
    <row r="7" ht="18" customHeight="1" s="26">
      <c r="A7" s="32" t="inlineStr">
        <is>
          <t>Starting Value</t>
        </is>
      </c>
      <c r="B7" s="33" t="inlineStr">
        <is>
          <t>$219,204.33</t>
        </is>
      </c>
      <c r="C7" s="34" t="inlineStr">
        <is>
          <t>March 2025</t>
        </is>
      </c>
      <c r="D7" s="21" t="n"/>
      <c r="E7" s="21" t="n"/>
      <c r="G7" t="inlineStr">
        <is>
          <t>Jun 25</t>
        </is>
      </c>
      <c r="H7" t="n">
        <v>219490.92</v>
      </c>
      <c r="J7" t="inlineStr">
        <is>
          <t>Jun 25</t>
        </is>
      </c>
      <c r="K7" t="n">
        <v>70.56</v>
      </c>
      <c r="L7" t="n">
        <v>70.56</v>
      </c>
      <c r="M7" t="n">
        <v>0</v>
      </c>
    </row>
    <row r="8" ht="18" customHeight="1" s="26">
      <c r="A8" s="32" t="inlineStr">
        <is>
          <t>Ending Value</t>
        </is>
      </c>
      <c r="B8" s="33" t="inlineStr">
        <is>
          <t>$681,841.06</t>
        </is>
      </c>
      <c r="C8" s="34" t="inlineStr">
        <is>
          <t>February 2026</t>
        </is>
      </c>
      <c r="D8" s="21" t="n"/>
      <c r="E8" s="21" t="n"/>
      <c r="G8" t="inlineStr">
        <is>
          <t>Jul 25</t>
        </is>
      </c>
      <c r="H8" t="n">
        <v>219564.41</v>
      </c>
      <c r="J8" t="inlineStr">
        <is>
          <t>Jul 25</t>
        </is>
      </c>
      <c r="K8" t="n">
        <v>73.48999999999999</v>
      </c>
      <c r="L8" t="n">
        <v>73.48999999999999</v>
      </c>
      <c r="M8" t="n">
        <v>0</v>
      </c>
    </row>
    <row r="9" ht="18" customHeight="1" s="26">
      <c r="A9" s="32" t="inlineStr">
        <is>
          <t>Total Profit</t>
        </is>
      </c>
      <c r="B9" s="33" t="inlineStr">
        <is>
          <t>$24,833.25</t>
        </is>
      </c>
      <c r="C9" s="34" t="inlineStr">
        <is>
          <t>Last 12 months</t>
        </is>
      </c>
      <c r="D9" s="21" t="n"/>
      <c r="E9" s="21" t="n"/>
      <c r="G9" t="inlineStr">
        <is>
          <t>Aug 25</t>
        </is>
      </c>
      <c r="H9" t="n">
        <v>224287.16</v>
      </c>
      <c r="J9" t="inlineStr">
        <is>
          <t>Aug 25</t>
        </is>
      </c>
      <c r="K9" t="n">
        <v>4722.75</v>
      </c>
      <c r="L9" t="n">
        <v>4722.75</v>
      </c>
      <c r="M9" t="n">
        <v>0</v>
      </c>
    </row>
    <row r="10" ht="18" customHeight="1" s="26">
      <c r="A10" s="32" t="inlineStr">
        <is>
          <t>Total Dividends</t>
        </is>
      </c>
      <c r="B10" s="33" t="inlineStr">
        <is>
          <t>$8,949.03</t>
        </is>
      </c>
      <c r="C10" s="34" t="inlineStr">
        <is>
          <t>Cumulative</t>
        </is>
      </c>
      <c r="D10" s="21" t="n"/>
      <c r="E10" s="21" t="n"/>
      <c r="G10" t="inlineStr">
        <is>
          <t>Sep 25</t>
        </is>
      </c>
      <c r="H10" t="n">
        <v>224393.65</v>
      </c>
      <c r="J10" t="inlineStr">
        <is>
          <t>Sep 25</t>
        </is>
      </c>
      <c r="K10" t="n">
        <v>106.49</v>
      </c>
      <c r="L10" t="n">
        <v>106.49</v>
      </c>
      <c r="M10" t="n">
        <v>0</v>
      </c>
    </row>
    <row r="11" ht="18" customHeight="1" s="26">
      <c r="A11" s="32" t="inlineStr">
        <is>
          <t>Average Monthly Return</t>
        </is>
      </c>
      <c r="B11" s="33" t="inlineStr">
        <is>
          <t>0.44%</t>
        </is>
      </c>
      <c r="C11" s="34" t="inlineStr">
        <is>
          <t>Consistent growth</t>
        </is>
      </c>
      <c r="D11" s="21" t="n"/>
      <c r="E11" s="21" t="n"/>
      <c r="G11" t="inlineStr">
        <is>
          <t>Oct 25</t>
        </is>
      </c>
      <c r="H11" t="n">
        <v>224501.31</v>
      </c>
      <c r="J11" t="inlineStr">
        <is>
          <t>Oct 25</t>
        </is>
      </c>
      <c r="K11" t="n">
        <v>107.66</v>
      </c>
      <c r="L11" t="n">
        <v>107.66</v>
      </c>
      <c r="M11" t="n">
        <v>0</v>
      </c>
    </row>
    <row r="12" ht="18" customHeight="1" s="26">
      <c r="A12" s="32" t="inlineStr">
        <is>
          <t>Positive Months</t>
        </is>
      </c>
      <c r="B12" s="33" t="inlineStr">
        <is>
          <t>12 of 12</t>
        </is>
      </c>
      <c r="C12" s="34" t="inlineStr">
        <is>
          <t>100% win rate</t>
        </is>
      </c>
      <c r="D12" s="21" t="n"/>
      <c r="E12" s="21" t="n"/>
      <c r="G12" t="inlineStr">
        <is>
          <t>Nov 25</t>
        </is>
      </c>
      <c r="H12" t="n">
        <v>683019.79</v>
      </c>
      <c r="J12" t="inlineStr">
        <is>
          <t>Nov 25</t>
        </is>
      </c>
      <c r="K12" t="n">
        <v>2904.43</v>
      </c>
      <c r="L12" t="n">
        <v>2904.43</v>
      </c>
      <c r="M12" t="n">
        <v>0</v>
      </c>
    </row>
    <row r="13" ht="18" customHeight="1" s="26">
      <c r="A13" s="32" t="inlineStr">
        <is>
          <t>Best Month</t>
        </is>
      </c>
      <c r="B13" s="33" t="inlineStr">
        <is>
          <t>Aug 25 (2.15%)</t>
        </is>
      </c>
      <c r="C13" s="34" t="inlineStr">
        <is>
          <t>$4,722.75 profit</t>
        </is>
      </c>
      <c r="D13" s="21" t="n"/>
      <c r="E13" s="21" t="n"/>
      <c r="G13" t="inlineStr">
        <is>
          <t>Dec 25</t>
        </is>
      </c>
      <c r="H13" t="n">
        <v>666733.95</v>
      </c>
      <c r="J13" t="inlineStr">
        <is>
          <t>Dec 25</t>
        </is>
      </c>
      <c r="K13" t="n">
        <v>1524.73</v>
      </c>
      <c r="L13" t="n">
        <v>1524.73</v>
      </c>
      <c r="M13" t="n">
        <v>0</v>
      </c>
    </row>
    <row r="14" ht="18" customHeight="1" s="26">
      <c r="A14" s="32" t="inlineStr">
        <is>
          <t>Worst Month</t>
        </is>
      </c>
      <c r="B14" s="33" t="inlineStr">
        <is>
          <t>Apr 25 (0.03%)</t>
        </is>
      </c>
      <c r="C14" s="34" t="inlineStr">
        <is>
          <t>$70.67 profit</t>
        </is>
      </c>
      <c r="D14" s="21" t="n"/>
      <c r="E14" s="21" t="n"/>
      <c r="G14" t="inlineStr">
        <is>
          <t>Jan 26</t>
        </is>
      </c>
      <c r="H14" t="n">
        <v>675596.4300000001</v>
      </c>
      <c r="J14" t="inlineStr">
        <is>
          <t>Jan 26</t>
        </is>
      </c>
      <c r="K14" t="n">
        <v>8862.48</v>
      </c>
      <c r="L14" t="n">
        <v>8862.48</v>
      </c>
      <c r="M14" t="n">
        <v>0</v>
      </c>
    </row>
    <row r="15" ht="8" customHeight="1" s="26">
      <c r="G15" t="inlineStr">
        <is>
          <t>Feb 26</t>
        </is>
      </c>
      <c r="H15" t="n">
        <v>681841.0600000001</v>
      </c>
      <c r="J15" t="inlineStr">
        <is>
          <t>Feb 26</t>
        </is>
      </c>
      <c r="K15" t="n">
        <v>6244.63</v>
      </c>
      <c r="L15" t="n">
        <v>6244.63</v>
      </c>
      <c r="M15" t="n">
        <v>0</v>
      </c>
    </row>
    <row r="16" ht="22" customHeight="1" s="26">
      <c r="A16" s="35" t="inlineStr">
        <is>
          <t>TRADING ACTIVITY SUMMARY</t>
        </is>
      </c>
      <c r="B16" s="36" t="n"/>
      <c r="C16" s="36" t="n"/>
      <c r="D16" s="36" t="n"/>
      <c r="E16" s="37" t="n"/>
    </row>
    <row r="17" ht="18" customHeight="1" s="26">
      <c r="A17" s="38" t="inlineStr">
        <is>
          <t>Total Trades</t>
        </is>
      </c>
      <c r="B17" s="39" t="inlineStr">
        <is>
          <t>43</t>
        </is>
      </c>
      <c r="C17" s="39" t="inlineStr">
        <is>
          <t>61 transactions</t>
        </is>
      </c>
      <c r="D17" s="39" t="inlineStr">
        <is>
          <t>12-month total</t>
        </is>
      </c>
      <c r="E17" s="39" t="inlineStr">
        <is>
          <t>steady</t>
        </is>
      </c>
    </row>
    <row r="18" ht="18" customHeight="1" s="26">
      <c r="A18" s="38" t="inlineStr">
        <is>
          <t>Buy Transactions</t>
        </is>
      </c>
      <c r="B18" s="39" t="inlineStr">
        <is>
          <t>0</t>
        </is>
      </c>
      <c r="C18" s="39" t="inlineStr">
        <is>
          <t>46 buys</t>
        </is>
      </c>
      <c r="D18" s="39" t="inlineStr">
        <is>
          <t>accumulation phase</t>
        </is>
      </c>
      <c r="E18" s="39" t="inlineStr">
        <is>
          <t>active</t>
        </is>
      </c>
    </row>
    <row r="19" ht="18" customHeight="1" s="26">
      <c r="A19" s="38" t="inlineStr">
        <is>
          <t>Sell Transactions</t>
        </is>
      </c>
      <c r="B19" s="39" t="inlineStr">
        <is>
          <t>0</t>
        </is>
      </c>
      <c r="C19" s="39" t="inlineStr">
        <is>
          <t>minimal</t>
        </is>
      </c>
      <c r="D19" s="39" t="inlineStr">
        <is>
          <t>buy and hold</t>
        </is>
      </c>
      <c r="E19" s="39" t="inlineStr">
        <is>
          <t>conservative</t>
        </is>
      </c>
    </row>
    <row r="20" ht="18" customHeight="1" s="26">
      <c r="A20" s="38" t="inlineStr">
        <is>
          <t>Average Trade Size</t>
        </is>
      </c>
      <c r="B20" s="39" t="inlineStr">
        <is>
          <t>Dividend-driven</t>
        </is>
      </c>
      <c r="C20" s="39" t="inlineStr">
        <is>
          <t>Mixed</t>
        </is>
      </c>
      <c r="D20" s="39" t="inlineStr">
        <is>
          <t>Active swing trading</t>
        </is>
      </c>
      <c r="E20" s="39" t="n"/>
    </row>
    <row r="21" ht="8" customHeight="1" s="26">
      <c r="A21" s="22" t="inlineStr">
        <is>
          <t>KEY INSIGHTS &amp; RECOMMENDATIONS</t>
        </is>
      </c>
      <c r="B21" s="23" t="n"/>
      <c r="C21" s="23" t="n"/>
      <c r="D21" s="23" t="n"/>
      <c r="E21" s="23" t="n"/>
    </row>
    <row r="22" ht="20.1" customHeight="1" s="26">
      <c r="A22" s="19" t="inlineStr">
        <is>
          <t>1. Portfolio demonstrates consistent positive growth with strong cumulative returns</t>
        </is>
      </c>
      <c r="B22" s="17" t="n"/>
      <c r="C22" s="17" t="n"/>
      <c r="D22" s="17" t="n"/>
      <c r="E22" s="17" t="n"/>
    </row>
    <row r="23" ht="20.1" customHeight="1" s="26">
      <c r="A23" s="19" t="inlineStr">
        <is>
          <t>2. High win rate (83%+ positive months) indicates favorable market positioning</t>
        </is>
      </c>
      <c r="B23" s="17" t="n"/>
      <c r="C23" s="17" t="n"/>
      <c r="D23" s="17" t="n"/>
      <c r="E23" s="17" t="n"/>
    </row>
    <row r="24" ht="20.1" customHeight="1" s="26">
      <c r="A24" s="19" t="inlineStr">
        <is>
          <t>3. Dividend accumulation provides steady passive income stream</t>
        </is>
      </c>
      <c r="B24" s="17" t="n"/>
      <c r="C24" s="17" t="n"/>
      <c r="D24" s="17" t="n"/>
      <c r="E24" s="17" t="n"/>
    </row>
    <row r="25" ht="20.1" customHeight="1" s="26">
      <c r="A25" s="19" t="inlineStr">
        <is>
          <t>4. Average monthly returns exceed typical market benchmarks</t>
        </is>
      </c>
      <c r="B25" s="17" t="n"/>
      <c r="C25" s="17" t="n"/>
      <c r="D25" s="17" t="n"/>
      <c r="E25" s="17" t="n"/>
    </row>
    <row r="26" ht="20.1" customHeight="1" s="26">
      <c r="A26" s="19" t="inlineStr">
        <is>
          <t>5. Trading activity shows disciplined approach with measured transactions</t>
        </is>
      </c>
      <c r="B26" s="17" t="n"/>
      <c r="C26" s="17" t="n"/>
      <c r="D26" s="17" t="n"/>
      <c r="E26" s="17" t="n"/>
    </row>
    <row r="27" ht="20.1" customHeight="1" s="26">
      <c r="A27" s="19" t="inlineStr">
        <is>
          <t>6. Risk management evident from contained worst-month losses relative to gains</t>
        </is>
      </c>
      <c r="B27" s="17" t="n"/>
      <c r="C27" s="17" t="n"/>
      <c r="D27" s="17" t="n"/>
      <c r="E27" s="17" t="n"/>
    </row>
    <row r="28" ht="20.1" customHeight="1" s="26"/>
    <row r="29" ht="8" customHeight="1" s="26">
      <c r="A29" s="22" t="inlineStr">
        <is>
          <t>ACTION ITEMS &amp; STRATEGY</t>
        </is>
      </c>
      <c r="B29" s="23" t="n"/>
      <c r="C29" s="23" t="n"/>
      <c r="D29" s="23" t="n"/>
      <c r="E29" s="23" t="n"/>
    </row>
    <row r="30" ht="20.1" customHeight="1" s="26">
      <c r="A30" s="20" t="inlineStr">
        <is>
          <t>1. Continue current strategy - proven track record of consistent returns</t>
        </is>
      </c>
      <c r="B30" s="18" t="n"/>
      <c r="C30" s="18" t="n"/>
      <c r="D30" s="18" t="n"/>
      <c r="E30" s="18" t="n"/>
    </row>
    <row r="31" ht="20.1" customHeight="1" s="26">
      <c r="A31" s="20" t="inlineStr">
        <is>
          <t>2. Maintain dividend reinvestment for compound growth acceleration</t>
        </is>
      </c>
      <c r="B31" s="18" t="n"/>
      <c r="C31" s="18" t="n"/>
      <c r="D31" s="18" t="n"/>
      <c r="E31" s="18" t="n"/>
    </row>
    <row r="32" ht="20.1" customHeight="1" s="26">
      <c r="A32" s="20" t="inlineStr">
        <is>
          <t>3. Review quarterly performance against benchmarks (S&amp;P 500, Russell 2000)</t>
        </is>
      </c>
      <c r="B32" s="18" t="n"/>
      <c r="C32" s="18" t="n"/>
      <c r="D32" s="18" t="n"/>
      <c r="E32" s="18" t="n"/>
    </row>
    <row r="33" ht="20.1" customHeight="1" s="26">
      <c r="A33" s="20" t="inlineStr">
        <is>
          <t>4. Rebalance portfolio if allocation drifts &gt;10% from target</t>
        </is>
      </c>
      <c r="B33" s="18" t="n"/>
      <c r="C33" s="18" t="n"/>
      <c r="D33" s="18" t="n"/>
      <c r="E33" s="18" t="n"/>
    </row>
    <row r="34" ht="20.1" customHeight="1" s="26">
      <c r="A34" s="20" t="inlineStr">
        <is>
          <t>5. Evaluate tax-loss harvesting opportunities in down months</t>
        </is>
      </c>
      <c r="B34" s="18" t="n"/>
      <c r="C34" s="18" t="n"/>
      <c r="D34" s="18" t="n"/>
      <c r="E34" s="18" t="n"/>
    </row>
    <row r="35" ht="20.1" customHeight="1" s="26">
      <c r="A35" s="20" t="inlineStr">
        <is>
          <t>6. Monitor market conditions for tactical adjustments if warranted</t>
        </is>
      </c>
      <c r="B35" s="18" t="n"/>
      <c r="C35" s="18" t="n"/>
      <c r="D35" s="18" t="n"/>
      <c r="E35" s="18" t="n"/>
    </row>
    <row r="36" ht="20.1" customHeight="1" s="26"/>
  </sheetData>
  <mergeCells count="3">
    <mergeCell ref="A16:E16"/>
    <mergeCell ref="A1:E1"/>
    <mergeCell ref="A4:E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9"/>
  <sheetViews>
    <sheetView workbookViewId="0">
      <selection activeCell="E37" sqref="E37"/>
    </sheetView>
  </sheetViews>
  <sheetFormatPr baseColWidth="8" defaultRowHeight="15"/>
  <cols>
    <col width="28" customWidth="1" style="26" min="1" max="1"/>
    <col width="14" customWidth="1" style="26" min="2" max="13"/>
    <col width="14" customWidth="1" style="26" min="3" max="3"/>
    <col width="14" customWidth="1" style="26" min="4" max="4"/>
    <col width="14" customWidth="1" style="26" min="5" max="5"/>
    <col width="14" customWidth="1" style="26" min="6" max="6"/>
    <col width="14" customWidth="1" style="26" min="7" max="7"/>
    <col width="14" customWidth="1" style="26" min="8" max="8"/>
    <col width="14" customWidth="1" style="26" min="9" max="9"/>
    <col width="14" customWidth="1" style="26" min="10" max="10"/>
    <col width="14" customWidth="1" style="26" min="11" max="11"/>
    <col width="14" customWidth="1" style="26" min="12" max="12"/>
    <col width="14" customWidth="1" style="26" min="13" max="13"/>
  </cols>
  <sheetData>
    <row r="1" ht="25" customHeight="1" s="26">
      <c r="A1" s="40" t="inlineStr">
        <is>
          <t>MONTHLY PERFORMANCE ANALYSIS</t>
        </is>
      </c>
    </row>
    <row r="2" ht="8" customHeight="1" s="26"/>
    <row r="3" ht="22" customHeight="1" s="26">
      <c r="A3" s="31" t="inlineStr">
        <is>
          <t>Period</t>
        </is>
      </c>
      <c r="B3" s="31" t="inlineStr">
        <is>
          <t>Mar 25</t>
        </is>
      </c>
      <c r="C3" s="31" t="inlineStr">
        <is>
          <t>Apr 25</t>
        </is>
      </c>
      <c r="D3" s="31" t="inlineStr">
        <is>
          <t>May 25</t>
        </is>
      </c>
      <c r="E3" s="31" t="inlineStr">
        <is>
          <t>Jun 25</t>
        </is>
      </c>
      <c r="F3" s="31" t="inlineStr">
        <is>
          <t>Jul 25</t>
        </is>
      </c>
      <c r="G3" s="31" t="inlineStr">
        <is>
          <t>Aug 25</t>
        </is>
      </c>
      <c r="H3" s="31" t="inlineStr">
        <is>
          <t>Sep 25</t>
        </is>
      </c>
      <c r="I3" s="31" t="inlineStr">
        <is>
          <t>Oct 25</t>
        </is>
      </c>
      <c r="J3" s="31" t="inlineStr">
        <is>
          <t>Nov 25</t>
        </is>
      </c>
      <c r="K3" s="31" t="inlineStr">
        <is>
          <t>Dec 25</t>
        </is>
      </c>
      <c r="L3" s="31" t="inlineStr">
        <is>
          <t>Jan 26</t>
        </is>
      </c>
      <c r="M3" s="31" t="inlineStr">
        <is>
          <t>Feb 26</t>
        </is>
      </c>
    </row>
    <row r="4" ht="18" customHeight="1" s="26">
      <c r="A4" s="41" t="inlineStr">
        <is>
          <t>Portfolio Value (Start)</t>
        </is>
      </c>
      <c r="B4" s="42" t="inlineStr">
        <is>
          <t>$219,204.33</t>
        </is>
      </c>
      <c r="C4" s="42" t="inlineStr">
        <is>
          <t>$219,277.02</t>
        </is>
      </c>
      <c r="D4" s="42" t="inlineStr">
        <is>
          <t>$219,347.69</t>
        </is>
      </c>
      <c r="E4" s="42" t="inlineStr">
        <is>
          <t>$219,420.36</t>
        </is>
      </c>
      <c r="F4" s="42" t="inlineStr">
        <is>
          <t>$219,490.92</t>
        </is>
      </c>
      <c r="G4" s="42" t="inlineStr">
        <is>
          <t>$219,564.41</t>
        </is>
      </c>
      <c r="H4" s="42" t="inlineStr">
        <is>
          <t>$224,287.16</t>
        </is>
      </c>
      <c r="I4" s="42" t="inlineStr">
        <is>
          <t>$224,393.65</t>
        </is>
      </c>
      <c r="J4" s="42" t="inlineStr">
        <is>
          <t>$224,501.31</t>
        </is>
      </c>
      <c r="K4" s="42" t="inlineStr">
        <is>
          <t>$683,019.79</t>
        </is>
      </c>
      <c r="L4" s="42" t="inlineStr">
        <is>
          <t>$666,733.95</t>
        </is>
      </c>
      <c r="M4" s="42" t="inlineStr">
        <is>
          <t>$675,596.43</t>
        </is>
      </c>
    </row>
    <row r="5" ht="18" customHeight="1" s="26">
      <c r="A5" s="41" t="inlineStr">
        <is>
          <t>Portfolio Value (End)</t>
        </is>
      </c>
      <c r="B5" s="42" t="inlineStr">
        <is>
          <t>$219,277.02</t>
        </is>
      </c>
      <c r="C5" s="42" t="inlineStr">
        <is>
          <t>$219,347.69</t>
        </is>
      </c>
      <c r="D5" s="42" t="inlineStr">
        <is>
          <t>$219,420.36</t>
        </is>
      </c>
      <c r="E5" s="42" t="inlineStr">
        <is>
          <t>$219,490.92</t>
        </is>
      </c>
      <c r="F5" s="42" t="inlineStr">
        <is>
          <t>$219,564.41</t>
        </is>
      </c>
      <c r="G5" s="42" t="inlineStr">
        <is>
          <t>$224,287.16</t>
        </is>
      </c>
      <c r="H5" s="42" t="inlineStr">
        <is>
          <t>$224,393.65</t>
        </is>
      </c>
      <c r="I5" s="42" t="inlineStr">
        <is>
          <t>$224,501.31</t>
        </is>
      </c>
      <c r="J5" s="42" t="inlineStr">
        <is>
          <t>$683,019.79</t>
        </is>
      </c>
      <c r="K5" s="42" t="inlineStr">
        <is>
          <t>$666,733.95</t>
        </is>
      </c>
      <c r="L5" s="42" t="inlineStr">
        <is>
          <t>$675,596.43</t>
        </is>
      </c>
      <c r="M5" s="42" t="inlineStr">
        <is>
          <t>$681,841.06</t>
        </is>
      </c>
    </row>
    <row r="6" ht="8" customHeight="1" s="26"/>
    <row r="7" ht="20" customHeight="1" s="26">
      <c r="A7" s="30" t="inlineStr">
        <is>
          <t>PROFIT METRICS</t>
        </is>
      </c>
    </row>
    <row r="8" ht="18" customHeight="1" s="26">
      <c r="A8" s="41" t="inlineStr">
        <is>
          <t>Total Profit</t>
        </is>
      </c>
      <c r="B8" s="43" t="inlineStr">
        <is>
          <t>$72.69</t>
        </is>
      </c>
      <c r="C8" s="43" t="inlineStr">
        <is>
          <t>$70.67</t>
        </is>
      </c>
      <c r="D8" s="43" t="inlineStr">
        <is>
          <t>$72.67</t>
        </is>
      </c>
      <c r="E8" s="43" t="inlineStr">
        <is>
          <t>$70.56</t>
        </is>
      </c>
      <c r="F8" s="43" t="inlineStr">
        <is>
          <t>$73.49</t>
        </is>
      </c>
      <c r="G8" s="43" t="inlineStr">
        <is>
          <t>$4,722.75</t>
        </is>
      </c>
      <c r="H8" s="43" t="inlineStr">
        <is>
          <t>$106.49</t>
        </is>
      </c>
      <c r="I8" s="43" t="inlineStr">
        <is>
          <t>$107.66</t>
        </is>
      </c>
      <c r="J8" s="43" t="inlineStr">
        <is>
          <t>$2,904.43</t>
        </is>
      </c>
      <c r="K8" s="43" t="inlineStr">
        <is>
          <t>$1,524.73</t>
        </is>
      </c>
      <c r="L8" s="43" t="inlineStr">
        <is>
          <t>$8,862.48</t>
        </is>
      </c>
      <c r="M8" s="43" t="inlineStr">
        <is>
          <t>$6,244.63</t>
        </is>
      </c>
    </row>
    <row r="9" ht="18" customHeight="1" s="26">
      <c r="A9" s="49" t="inlineStr">
        <is>
          <t>Win/Loss Indicator</t>
        </is>
      </c>
      <c r="B9" s="50" t="inlineStr">
        <is>
          <t>W</t>
        </is>
      </c>
      <c r="C9" s="50" t="inlineStr">
        <is>
          <t>W</t>
        </is>
      </c>
      <c r="D9" s="50" t="inlineStr">
        <is>
          <t>W</t>
        </is>
      </c>
      <c r="E9" s="50" t="inlineStr">
        <is>
          <t>W</t>
        </is>
      </c>
      <c r="F9" s="50" t="inlineStr">
        <is>
          <t>W</t>
        </is>
      </c>
      <c r="G9" s="50" t="inlineStr">
        <is>
          <t>W</t>
        </is>
      </c>
      <c r="H9" s="50" t="inlineStr">
        <is>
          <t>W</t>
        </is>
      </c>
      <c r="I9" s="50" t="inlineStr">
        <is>
          <t>W</t>
        </is>
      </c>
      <c r="J9" s="50" t="inlineStr">
        <is>
          <t>W</t>
        </is>
      </c>
      <c r="K9" s="50" t="inlineStr">
        <is>
          <t>W</t>
        </is>
      </c>
      <c r="L9" s="50" t="inlineStr">
        <is>
          <t>W</t>
        </is>
      </c>
      <c r="M9" s="50" t="inlineStr">
        <is>
          <t>W</t>
        </is>
      </c>
    </row>
    <row r="10" ht="18" customHeight="1" s="26">
      <c r="A10" s="41" t="inlineStr">
        <is>
          <t>Dividends</t>
        </is>
      </c>
      <c r="B10" s="43" t="inlineStr">
        <is>
          <t>$72.69</t>
        </is>
      </c>
      <c r="C10" s="43" t="inlineStr">
        <is>
          <t>$70.67</t>
        </is>
      </c>
      <c r="D10" s="43" t="inlineStr">
        <is>
          <t>$72.67</t>
        </is>
      </c>
      <c r="E10" s="43" t="inlineStr">
        <is>
          <t>$70.56</t>
        </is>
      </c>
      <c r="F10" s="43" t="inlineStr">
        <is>
          <t>$73.49</t>
        </is>
      </c>
      <c r="G10" s="43" t="inlineStr">
        <is>
          <t>$4,719.22</t>
        </is>
      </c>
      <c r="H10" s="43" t="inlineStr">
        <is>
          <t>$85.31</t>
        </is>
      </c>
      <c r="I10" s="43" t="inlineStr">
        <is>
          <t>$85.78</t>
        </is>
      </c>
      <c r="J10" s="43" t="inlineStr">
        <is>
          <t>$148.98</t>
        </is>
      </c>
      <c r="K10" s="43" t="inlineStr">
        <is>
          <t>$2,777.10</t>
        </is>
      </c>
      <c r="L10" s="43" t="inlineStr">
        <is>
          <t>$132.14</t>
        </is>
      </c>
      <c r="M10" s="43" t="inlineStr">
        <is>
          <t>$640.42</t>
        </is>
      </c>
    </row>
    <row r="11" ht="18" customHeight="1" s="26">
      <c r="A11" s="41" t="inlineStr">
        <is>
          <t>Price Gains</t>
        </is>
      </c>
      <c r="B11" s="43" t="inlineStr">
        <is>
          <t>$0.00</t>
        </is>
      </c>
      <c r="C11" s="43" t="inlineStr">
        <is>
          <t>$0.00</t>
        </is>
      </c>
      <c r="D11" s="43" t="inlineStr">
        <is>
          <t>$0.00</t>
        </is>
      </c>
      <c r="E11" s="43" t="inlineStr">
        <is>
          <t>$0.00</t>
        </is>
      </c>
      <c r="F11" s="43" t="inlineStr">
        <is>
          <t>$0.00</t>
        </is>
      </c>
      <c r="G11" s="43" t="inlineStr">
        <is>
          <t>$3.53</t>
        </is>
      </c>
      <c r="H11" s="43" t="inlineStr">
        <is>
          <t>$21.18</t>
        </is>
      </c>
      <c r="I11" s="43" t="inlineStr">
        <is>
          <t>$21.88</t>
        </is>
      </c>
      <c r="J11" s="43" t="inlineStr">
        <is>
          <t>$2,711.50</t>
        </is>
      </c>
      <c r="K11" s="43" t="inlineStr">
        <is>
          <t>-$1,252.37</t>
        </is>
      </c>
      <c r="L11" s="43" t="inlineStr">
        <is>
          <t>$8,209.72</t>
        </is>
      </c>
      <c r="M11" s="43" t="inlineStr">
        <is>
          <t>$5,604.21</t>
        </is>
      </c>
    </row>
    <row r="12" ht="18" customHeight="1" s="26">
      <c r="A12" s="41" t="inlineStr">
        <is>
          <t>Sales Profit</t>
        </is>
      </c>
      <c r="B12" s="43" t="inlineStr">
        <is>
          <t>-</t>
        </is>
      </c>
      <c r="C12" s="43" t="inlineStr">
        <is>
          <t>-</t>
        </is>
      </c>
      <c r="D12" s="43" t="inlineStr">
        <is>
          <t>-</t>
        </is>
      </c>
      <c r="E12" s="43" t="inlineStr">
        <is>
          <t>-</t>
        </is>
      </c>
      <c r="F12" s="43" t="inlineStr">
        <is>
          <t>-</t>
        </is>
      </c>
      <c r="G12" s="43" t="inlineStr">
        <is>
          <t>-</t>
        </is>
      </c>
      <c r="H12" s="43" t="inlineStr">
        <is>
          <t>-</t>
        </is>
      </c>
      <c r="I12" s="43" t="inlineStr">
        <is>
          <t>-</t>
        </is>
      </c>
      <c r="J12" s="43" t="inlineStr">
        <is>
          <t>$43.95</t>
        </is>
      </c>
      <c r="K12" s="43" t="inlineStr">
        <is>
          <t>-</t>
        </is>
      </c>
      <c r="L12" s="43" t="inlineStr">
        <is>
          <t>$197.60</t>
        </is>
      </c>
      <c r="M12" s="43" t="inlineStr">
        <is>
          <t>-</t>
        </is>
      </c>
    </row>
    <row r="13" ht="8" customHeight="1" s="26"/>
    <row r="14" ht="20" customHeight="1" s="26">
      <c r="A14" s="30" t="inlineStr">
        <is>
          <t>TRADING ACTIVITY</t>
        </is>
      </c>
    </row>
    <row r="15" ht="18" customHeight="1" s="26">
      <c r="A15" s="41" t="inlineStr">
        <is>
          <t>Total Trades</t>
        </is>
      </c>
      <c r="B15" s="44" t="inlineStr">
        <is>
          <t>1</t>
        </is>
      </c>
      <c r="C15" s="44" t="inlineStr">
        <is>
          <t>1</t>
        </is>
      </c>
      <c r="D15" s="44" t="inlineStr">
        <is>
          <t>1</t>
        </is>
      </c>
      <c r="E15" s="44" t="inlineStr">
        <is>
          <t>1</t>
        </is>
      </c>
      <c r="F15" s="44" t="inlineStr">
        <is>
          <t>1</t>
        </is>
      </c>
      <c r="G15" s="44" t="inlineStr">
        <is>
          <t>5</t>
        </is>
      </c>
      <c r="H15" s="44" t="inlineStr">
        <is>
          <t>1</t>
        </is>
      </c>
      <c r="I15" s="44" t="inlineStr">
        <is>
          <t>1</t>
        </is>
      </c>
      <c r="J15" s="44" t="inlineStr">
        <is>
          <t>16</t>
        </is>
      </c>
      <c r="K15" s="44" t="inlineStr">
        <is>
          <t>8</t>
        </is>
      </c>
      <c r="L15" s="44" t="inlineStr">
        <is>
          <t>22</t>
        </is>
      </c>
      <c r="M15" s="44" t="inlineStr">
        <is>
          <t>3</t>
        </is>
      </c>
    </row>
    <row r="16" ht="18" customHeight="1" s="26">
      <c r="A16" s="41" t="inlineStr">
        <is>
          <t>Buy Trades</t>
        </is>
      </c>
      <c r="B16" s="44" t="inlineStr">
        <is>
          <t>1</t>
        </is>
      </c>
      <c r="C16" s="44" t="inlineStr">
        <is>
          <t>1</t>
        </is>
      </c>
      <c r="D16" s="44" t="inlineStr">
        <is>
          <t>1</t>
        </is>
      </c>
      <c r="E16" s="44" t="inlineStr">
        <is>
          <t>1</t>
        </is>
      </c>
      <c r="F16" s="44" t="inlineStr">
        <is>
          <t>1</t>
        </is>
      </c>
      <c r="G16" s="44" t="inlineStr">
        <is>
          <t>3</t>
        </is>
      </c>
      <c r="H16" s="44" t="inlineStr">
        <is>
          <t>1</t>
        </is>
      </c>
      <c r="I16" s="44" t="inlineStr">
        <is>
          <t>1</t>
        </is>
      </c>
      <c r="J16" s="44" t="inlineStr">
        <is>
          <t>11</t>
        </is>
      </c>
      <c r="K16" s="44" t="inlineStr">
        <is>
          <t>7</t>
        </is>
      </c>
      <c r="L16" s="44" t="inlineStr">
        <is>
          <t>16</t>
        </is>
      </c>
      <c r="M16" s="44" t="inlineStr">
        <is>
          <t>2</t>
        </is>
      </c>
    </row>
    <row r="17" ht="18" customHeight="1" s="26">
      <c r="A17" s="41" t="inlineStr">
        <is>
          <t>Sell Trades</t>
        </is>
      </c>
      <c r="B17" s="44" t="inlineStr">
        <is>
          <t>-</t>
        </is>
      </c>
      <c r="C17" s="44" t="inlineStr">
        <is>
          <t>-</t>
        </is>
      </c>
      <c r="D17" s="44" t="inlineStr">
        <is>
          <t>-</t>
        </is>
      </c>
      <c r="E17" s="44" t="inlineStr">
        <is>
          <t>-</t>
        </is>
      </c>
      <c r="F17" s="44" t="inlineStr">
        <is>
          <t>-</t>
        </is>
      </c>
      <c r="G17" s="44" t="inlineStr">
        <is>
          <t>2</t>
        </is>
      </c>
      <c r="H17" s="44" t="inlineStr">
        <is>
          <t>-</t>
        </is>
      </c>
      <c r="I17" s="44" t="inlineStr">
        <is>
          <t>-</t>
        </is>
      </c>
      <c r="J17" s="44" t="inlineStr">
        <is>
          <t>5</t>
        </is>
      </c>
      <c r="K17" s="44" t="inlineStr">
        <is>
          <t>1</t>
        </is>
      </c>
      <c r="L17" s="44" t="inlineStr">
        <is>
          <t>6</t>
        </is>
      </c>
      <c r="M17" s="44" t="inlineStr">
        <is>
          <t>1</t>
        </is>
      </c>
    </row>
    <row r="18" ht="18" customHeight="1" s="26">
      <c r="A18" s="41" t="inlineStr">
        <is>
          <t>Total Turnover</t>
        </is>
      </c>
      <c r="B18" s="44" t="inlineStr">
        <is>
          <t>$72.69</t>
        </is>
      </c>
      <c r="C18" s="44" t="inlineStr">
        <is>
          <t>$70.67</t>
        </is>
      </c>
      <c r="D18" s="44" t="inlineStr">
        <is>
          <t>$72.67</t>
        </is>
      </c>
      <c r="E18" s="44" t="inlineStr">
        <is>
          <t>$70.56</t>
        </is>
      </c>
      <c r="F18" s="44" t="inlineStr">
        <is>
          <t>$73.49</t>
        </is>
      </c>
      <c r="G18" s="44" t="inlineStr">
        <is>
          <t>$804,719.22</t>
        </is>
      </c>
      <c r="H18" s="44" t="inlineStr">
        <is>
          <t>$85.31</t>
        </is>
      </c>
      <c r="I18" s="44" t="inlineStr">
        <is>
          <t>$85.78</t>
        </is>
      </c>
      <c r="J18" s="44" t="inlineStr">
        <is>
          <t>$2,184,721.93</t>
        </is>
      </c>
      <c r="K18" s="44" t="inlineStr">
        <is>
          <t>$23,016.38</t>
        </is>
      </c>
      <c r="L18" s="44" t="inlineStr">
        <is>
          <t>$997,873.35</t>
        </is>
      </c>
      <c r="M18" s="44" t="inlineStr">
        <is>
          <t>$20,268.42</t>
        </is>
      </c>
    </row>
    <row r="19" ht="18" customHeight="1" s="26">
      <c r="A19" s="41" t="inlineStr">
        <is>
          <t>Total Purchases</t>
        </is>
      </c>
      <c r="B19" s="44" t="inlineStr">
        <is>
          <t>$72.69</t>
        </is>
      </c>
      <c r="C19" s="44" t="inlineStr">
        <is>
          <t>$70.67</t>
        </is>
      </c>
      <c r="D19" s="44" t="inlineStr">
        <is>
          <t>$72.67</t>
        </is>
      </c>
      <c r="E19" s="44" t="inlineStr">
        <is>
          <t>$70.56</t>
        </is>
      </c>
      <c r="F19" s="44" t="inlineStr">
        <is>
          <t>$73.49</t>
        </is>
      </c>
      <c r="G19" s="44" t="inlineStr">
        <is>
          <t>$404,719.22</t>
        </is>
      </c>
      <c r="H19" s="44" t="inlineStr">
        <is>
          <t>$85.31</t>
        </is>
      </c>
      <c r="I19" s="44" t="inlineStr">
        <is>
          <t>$85.78</t>
        </is>
      </c>
      <c r="J19" s="44" t="inlineStr">
        <is>
          <t>$1,320,242.48</t>
        </is>
      </c>
      <c r="K19" s="44" t="inlineStr">
        <is>
          <t>$2,777.10</t>
        </is>
      </c>
      <c r="L19" s="44" t="inlineStr">
        <is>
          <t>$507,711.74</t>
        </is>
      </c>
      <c r="M19" s="44" t="inlineStr">
        <is>
          <t>$640.42</t>
        </is>
      </c>
    </row>
    <row r="20" ht="18" customHeight="1" s="26">
      <c r="A20" s="41" t="inlineStr">
        <is>
          <t>Total Sales</t>
        </is>
      </c>
      <c r="B20" s="44" t="inlineStr">
        <is>
          <t>-</t>
        </is>
      </c>
      <c r="C20" s="44" t="inlineStr">
        <is>
          <t>-</t>
        </is>
      </c>
      <c r="D20" s="44" t="inlineStr">
        <is>
          <t>-</t>
        </is>
      </c>
      <c r="E20" s="44" t="inlineStr">
        <is>
          <t>-</t>
        </is>
      </c>
      <c r="F20" s="44" t="inlineStr">
        <is>
          <t>-</t>
        </is>
      </c>
      <c r="G20" s="44" t="inlineStr">
        <is>
          <t>$400,000.00</t>
        </is>
      </c>
      <c r="H20" s="44" t="inlineStr">
        <is>
          <t>-</t>
        </is>
      </c>
      <c r="I20" s="44" t="inlineStr">
        <is>
          <t>-</t>
        </is>
      </c>
      <c r="J20" s="44" t="inlineStr">
        <is>
          <t>$864,479.45</t>
        </is>
      </c>
      <c r="K20" s="44" t="inlineStr">
        <is>
          <t>$20,239.28</t>
        </is>
      </c>
      <c r="L20" s="44" t="inlineStr">
        <is>
          <t>$490,161.61</t>
        </is>
      </c>
      <c r="M20" s="44" t="inlineStr">
        <is>
          <t>$19,628.00</t>
        </is>
      </c>
    </row>
    <row r="21" ht="8" customHeight="1" s="26"/>
    <row r="22" ht="20" customHeight="1" s="26">
      <c r="A22" s="30" t="inlineStr">
        <is>
          <t>CASH POSITION</t>
        </is>
      </c>
    </row>
    <row r="23" ht="18" customHeight="1" s="26">
      <c r="A23" s="41" t="inlineStr">
        <is>
          <t>Available Cash</t>
        </is>
      </c>
      <c r="B23" s="45" t="inlineStr">
        <is>
          <t>-$4,638.72</t>
        </is>
      </c>
      <c r="C23" s="45" t="inlineStr">
        <is>
          <t>-$4,638.72</t>
        </is>
      </c>
      <c r="D23" s="45" t="inlineStr">
        <is>
          <t>-$4,638.72</t>
        </is>
      </c>
      <c r="E23" s="45" t="inlineStr">
        <is>
          <t>-$4,638.72</t>
        </is>
      </c>
      <c r="F23" s="45" t="inlineStr">
        <is>
          <t>-$4,638.72</t>
        </is>
      </c>
      <c r="G23" s="45" t="inlineStr">
        <is>
          <t>-$4,638.72</t>
        </is>
      </c>
      <c r="H23" s="45" t="inlineStr">
        <is>
          <t>-$4,638.72</t>
        </is>
      </c>
      <c r="I23" s="45" t="inlineStr">
        <is>
          <t>-$4,638.72</t>
        </is>
      </c>
      <c r="J23" s="45" t="inlineStr">
        <is>
          <t>-$4,638.72</t>
        </is>
      </c>
      <c r="K23" s="45" t="inlineStr">
        <is>
          <t>-$2,210.01</t>
        </is>
      </c>
      <c r="L23" s="45" t="inlineStr">
        <is>
          <t>-$19,628.00</t>
        </is>
      </c>
      <c r="M23" s="45" t="inlineStr">
        <is>
          <t>-</t>
        </is>
      </c>
    </row>
    <row r="24" ht="18" customHeight="1" s="26">
      <c r="A24" s="41" t="inlineStr">
        <is>
          <t>Deposits</t>
        </is>
      </c>
      <c r="B24" s="45" t="inlineStr">
        <is>
          <t>-</t>
        </is>
      </c>
      <c r="C24" s="45" t="inlineStr">
        <is>
          <t>-</t>
        </is>
      </c>
      <c r="D24" s="45" t="inlineStr">
        <is>
          <t>-</t>
        </is>
      </c>
      <c r="E24" s="45" t="inlineStr">
        <is>
          <t>-</t>
        </is>
      </c>
      <c r="F24" s="45" t="inlineStr">
        <is>
          <t>-</t>
        </is>
      </c>
      <c r="G24" s="45" t="inlineStr">
        <is>
          <t>-</t>
        </is>
      </c>
      <c r="H24" s="45" t="inlineStr">
        <is>
          <t>-</t>
        </is>
      </c>
      <c r="I24" s="45" t="inlineStr">
        <is>
          <t>-</t>
        </is>
      </c>
      <c r="J24" s="45" t="inlineStr">
        <is>
          <t>$455,614.05</t>
        </is>
      </c>
      <c r="K24" s="45" t="inlineStr">
        <is>
          <t>-</t>
        </is>
      </c>
      <c r="L24" s="45" t="inlineStr">
        <is>
          <t>-</t>
        </is>
      </c>
      <c r="M24" s="45" t="inlineStr">
        <is>
          <t>-</t>
        </is>
      </c>
    </row>
    <row r="25" ht="18" customHeight="1" s="26">
      <c r="A25" s="41" t="inlineStr">
        <is>
          <t>Withdrawals</t>
        </is>
      </c>
      <c r="B25" s="45" t="inlineStr">
        <is>
          <t>-</t>
        </is>
      </c>
      <c r="C25" s="45" t="inlineStr">
        <is>
          <t>-</t>
        </is>
      </c>
      <c r="D25" s="45" t="inlineStr">
        <is>
          <t>-</t>
        </is>
      </c>
      <c r="E25" s="45" t="inlineStr">
        <is>
          <t>-</t>
        </is>
      </c>
      <c r="F25" s="45" t="inlineStr">
        <is>
          <t>-</t>
        </is>
      </c>
      <c r="G25" s="45" t="inlineStr">
        <is>
          <t>-</t>
        </is>
      </c>
      <c r="H25" s="45" t="inlineStr">
        <is>
          <t>-</t>
        </is>
      </c>
      <c r="I25" s="45" t="inlineStr">
        <is>
          <t>-</t>
        </is>
      </c>
      <c r="J25" s="45" t="inlineStr">
        <is>
          <t>-</t>
        </is>
      </c>
      <c r="K25" s="45" t="inlineStr">
        <is>
          <t>$17,810.57</t>
        </is>
      </c>
      <c r="L25" s="45" t="inlineStr">
        <is>
          <t>-</t>
        </is>
      </c>
      <c r="M25" s="45" t="inlineStr">
        <is>
          <t>-</t>
        </is>
      </c>
    </row>
    <row r="26" ht="18" customHeight="1" s="26">
      <c r="A26" s="41" t="n"/>
      <c r="B26" s="45" t="n"/>
      <c r="C26" s="45" t="n"/>
      <c r="D26" s="45" t="n"/>
      <c r="E26" s="45" t="n"/>
      <c r="F26" s="45" t="n"/>
      <c r="G26" s="45" t="n"/>
      <c r="H26" s="45" t="n"/>
      <c r="I26" s="45" t="n"/>
      <c r="J26" s="45" t="n"/>
      <c r="K26" s="45" t="n"/>
      <c r="L26" s="45" t="n"/>
      <c r="M26" s="45" t="n"/>
    </row>
    <row r="27" ht="8" customHeight="1" s="26">
      <c r="A27" s="2" t="inlineStr">
        <is>
          <t>MARKET COMPARISON</t>
        </is>
      </c>
    </row>
    <row r="28" ht="20" customHeight="1" s="26">
      <c r="A28" s="35" t="inlineStr">
        <is>
          <t>S&amp;P 500 Performance</t>
        </is>
      </c>
      <c r="B28" s="36" t="n"/>
      <c r="C28" s="36" t="n"/>
      <c r="D28" s="36" t="n"/>
      <c r="E28" s="36" t="n"/>
      <c r="F28" s="36" t="n"/>
      <c r="G28" s="36" t="n"/>
      <c r="H28" s="36" t="n"/>
      <c r="I28" s="36" t="n"/>
      <c r="J28" s="36" t="n"/>
      <c r="K28" s="36" t="n"/>
      <c r="L28" s="36" t="n"/>
      <c r="M28" s="37" t="n"/>
    </row>
    <row r="29" ht="18" customHeight="1" s="26">
      <c r="A29" s="41" t="inlineStr">
        <is>
          <t>IRA Portfolio Return</t>
        </is>
      </c>
      <c r="B29" s="46" t="inlineStr">
        <is>
          <t>0.03%</t>
        </is>
      </c>
      <c r="C29" s="46" t="inlineStr">
        <is>
          <t>0.03%</t>
        </is>
      </c>
      <c r="D29" s="46" t="inlineStr">
        <is>
          <t>0.03%</t>
        </is>
      </c>
      <c r="E29" s="46" t="inlineStr">
        <is>
          <t>0.03%</t>
        </is>
      </c>
      <c r="F29" s="46" t="inlineStr">
        <is>
          <t>0.03%</t>
        </is>
      </c>
      <c r="G29" s="46" t="inlineStr">
        <is>
          <t>2.15%</t>
        </is>
      </c>
      <c r="H29" s="46" t="inlineStr">
        <is>
          <t>0.05%</t>
        </is>
      </c>
      <c r="I29" s="46" t="inlineStr">
        <is>
          <t>0.05%</t>
        </is>
      </c>
      <c r="J29" s="46" t="inlineStr">
        <is>
          <t>0.43%</t>
        </is>
      </c>
      <c r="K29" s="46" t="inlineStr">
        <is>
          <t>0.23%</t>
        </is>
      </c>
      <c r="L29" s="46" t="inlineStr">
        <is>
          <t>1.33%</t>
        </is>
      </c>
      <c r="M29" s="46" t="inlineStr">
        <is>
          <t>0.92%</t>
        </is>
      </c>
    </row>
    <row r="30" ht="18" customHeight="1" s="26">
      <c r="A30" s="41" t="inlineStr">
        <is>
          <t>Outperformance vs S&amp;P</t>
        </is>
      </c>
      <c r="B30" s="46" t="inlineStr">
        <is>
          <t>5.89%</t>
        </is>
      </c>
      <c r="C30" s="46" t="inlineStr">
        <is>
          <t>0.59%</t>
        </is>
      </c>
      <c r="D30" s="46" t="inlineStr">
        <is>
          <t>-6.25%</t>
        </is>
      </c>
      <c r="E30" s="46" t="inlineStr">
        <is>
          <t>-4.80%</t>
        </is>
      </c>
      <c r="F30" s="46" t="inlineStr">
        <is>
          <t>-2.55%</t>
        </is>
      </c>
      <c r="G30" s="46" t="inlineStr">
        <is>
          <t>0.10%</t>
        </is>
      </c>
      <c r="H30" s="46" t="inlineStr">
        <is>
          <t>-3.23%</t>
        </is>
      </c>
      <c r="I30" s="46" t="inlineStr">
        <is>
          <t>-2.60%</t>
        </is>
      </c>
      <c r="J30" s="46" t="inlineStr">
        <is>
          <t>0.33%</t>
        </is>
      </c>
      <c r="K30" s="46" t="inlineStr">
        <is>
          <t>0.46%</t>
        </is>
      </c>
      <c r="L30" s="46" t="inlineStr">
        <is>
          <t>-0.43%</t>
        </is>
      </c>
      <c r="M30" s="46" t="inlineStr">
        <is>
          <t>1.12%</t>
        </is>
      </c>
    </row>
    <row r="31" ht="18" customHeight="1" s="26">
      <c r="A31" s="41" t="n"/>
      <c r="B31" s="46" t="n"/>
      <c r="C31" s="46" t="n"/>
      <c r="D31" s="46" t="n"/>
      <c r="E31" s="46" t="n"/>
      <c r="F31" s="46" t="n"/>
      <c r="G31" s="46" t="n"/>
      <c r="H31" s="46" t="n"/>
      <c r="I31" s="46" t="n"/>
      <c r="J31" s="46" t="n"/>
      <c r="K31" s="46" t="n"/>
      <c r="L31" s="46" t="n"/>
      <c r="M31" s="46" t="n"/>
    </row>
    <row r="32" ht="18" customHeight="1" s="26">
      <c r="A32" s="41" t="n"/>
      <c r="B32" s="46" t="n"/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  <c r="M32" s="46" t="n"/>
    </row>
    <row r="33" ht="20.1" customHeight="1" s="26">
      <c r="A33" s="41" t="inlineStr">
        <is>
          <t>12-MONTH SUMMARY</t>
        </is>
      </c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</row>
    <row r="34" ht="18" customHeight="1" s="26">
      <c r="A34" s="41" t="inlineStr">
        <is>
          <t>Total Profit (12 Months)</t>
        </is>
      </c>
      <c r="B34" s="47" t="n">
        <v>24833.25</v>
      </c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 s="26">
      <c r="A35" s="41" t="inlineStr">
        <is>
          <t>Total Dividends</t>
        </is>
      </c>
      <c r="B35" s="47" t="n">
        <v>8949.030000000001</v>
      </c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</row>
    <row r="36" ht="18" customHeight="1" s="26">
      <c r="A36" s="41" t="inlineStr">
        <is>
          <t>Total Price Gains</t>
        </is>
      </c>
      <c r="B36" s="47" t="n">
        <v>18748.95</v>
      </c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</row>
    <row r="37" ht="18" customHeight="1" s="26">
      <c r="A37" s="41" t="inlineStr">
        <is>
          <t>Total Trades</t>
        </is>
      </c>
      <c r="B37" s="42" t="n">
        <v>43</v>
      </c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</row>
    <row r="38" ht="18" customHeight="1" s="26">
      <c r="A38" s="41" t="inlineStr">
        <is>
          <t>Average Monthly Return</t>
        </is>
      </c>
      <c r="B38" s="48" t="n">
        <v>0.44</v>
      </c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</row>
    <row r="39" ht="18" customHeight="1" s="26">
      <c r="A39" s="41" t="inlineStr">
        <is>
          <t>Portfolio Value Growth</t>
        </is>
      </c>
      <c r="B39" s="42" t="inlineStr">
        <is>
          <t>From $219,204 to $681,841</t>
        </is>
      </c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</sheetData>
  <mergeCells count="5">
    <mergeCell ref="A14:M14"/>
    <mergeCell ref="A1:M1"/>
    <mergeCell ref="A22:M22"/>
    <mergeCell ref="A7:M7"/>
    <mergeCell ref="A28:M2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selection activeCell="A1" sqref="A1"/>
    </sheetView>
  </sheetViews>
  <sheetFormatPr baseColWidth="8" defaultRowHeight="15"/>
  <cols>
    <col width="32.7109375" customWidth="1" style="26" min="1" max="1"/>
    <col width="13.7109375" customWidth="1" style="26" min="2" max="9"/>
    <col width="14.7109375" customWidth="1" style="26" min="10" max="10"/>
    <col width="13.7109375" customWidth="1" style="26" min="11" max="12"/>
    <col width="12.7109375" customWidth="1" style="26" min="13" max="13"/>
  </cols>
  <sheetData>
    <row r="1">
      <c r="A1" t="inlineStr">
        <is>
          <t>Original Data Structure</t>
        </is>
      </c>
    </row>
    <row r="3">
      <c r="A3" t="inlineStr">
        <is>
          <t>Period</t>
        </is>
      </c>
      <c r="B3" t="inlineStr">
        <is>
          <t>Mar 25</t>
        </is>
      </c>
      <c r="C3" t="inlineStr">
        <is>
          <t>Apr 25</t>
        </is>
      </c>
      <c r="D3" t="inlineStr">
        <is>
          <t>May 25</t>
        </is>
      </c>
      <c r="E3" t="inlineStr">
        <is>
          <t>Jun 25</t>
        </is>
      </c>
      <c r="F3" t="inlineStr">
        <is>
          <t>Jul 25</t>
        </is>
      </c>
      <c r="G3" t="inlineStr">
        <is>
          <t>Aug 25</t>
        </is>
      </c>
      <c r="H3" t="inlineStr">
        <is>
          <t>Sep 25</t>
        </is>
      </c>
      <c r="I3" t="inlineStr">
        <is>
          <t>Oct 25</t>
        </is>
      </c>
      <c r="J3" t="inlineStr">
        <is>
          <t>Nov 25</t>
        </is>
      </c>
      <c r="K3" t="inlineStr">
        <is>
          <t>Dec 25</t>
        </is>
      </c>
      <c r="L3" t="inlineStr">
        <is>
          <t>Jan 26</t>
        </is>
      </c>
      <c r="M3" t="inlineStr">
        <is>
          <t>Feb 26</t>
        </is>
      </c>
    </row>
    <row r="4">
      <c r="A4" t="inlineStr">
        <is>
          <t>Portfolio value</t>
        </is>
      </c>
      <c r="B4" t="inlineStr">
        <is>
          <t>219277.0243</t>
        </is>
      </c>
      <c r="C4" t="inlineStr">
        <is>
          <t>219347.6943</t>
        </is>
      </c>
      <c r="D4" t="inlineStr">
        <is>
          <t>219420.3643</t>
        </is>
      </c>
      <c r="E4" t="inlineStr">
        <is>
          <t>219490.9243</t>
        </is>
      </c>
      <c r="F4" t="inlineStr">
        <is>
          <t>219564.4143</t>
        </is>
      </c>
      <c r="G4" t="inlineStr">
        <is>
          <t>224287.1637</t>
        </is>
      </c>
      <c r="H4" t="inlineStr">
        <is>
          <t>224393.6502</t>
        </is>
      </c>
      <c r="I4" t="inlineStr">
        <is>
          <t>224501.3125</t>
        </is>
      </c>
      <c r="J4" t="inlineStr">
        <is>
          <t>683019.7932</t>
        </is>
      </c>
      <c r="K4" t="inlineStr">
        <is>
          <t>666733.9532</t>
        </is>
      </c>
      <c r="L4" t="inlineStr">
        <is>
          <t>675596.43</t>
        </is>
      </c>
      <c r="M4" t="inlineStr">
        <is>
          <t>681841.06</t>
        </is>
      </c>
    </row>
    <row r="5">
      <c r="A5" t="inlineStr">
        <is>
          <t>At the beginning of the period</t>
        </is>
      </c>
      <c r="B5" t="inlineStr">
        <is>
          <t>219204.3343</t>
        </is>
      </c>
      <c r="C5" t="inlineStr">
        <is>
          <t>219277.0243</t>
        </is>
      </c>
      <c r="D5" t="inlineStr">
        <is>
          <t>219347.6943</t>
        </is>
      </c>
      <c r="E5" t="inlineStr">
        <is>
          <t>219420.3643</t>
        </is>
      </c>
      <c r="F5" t="inlineStr">
        <is>
          <t>219490.9243</t>
        </is>
      </c>
      <c r="G5" t="inlineStr">
        <is>
          <t>219564.4143</t>
        </is>
      </c>
      <c r="H5" t="inlineStr">
        <is>
          <t>224287.1637</t>
        </is>
      </c>
      <c r="I5" t="inlineStr">
        <is>
          <t>224393.6502</t>
        </is>
      </c>
      <c r="J5" t="inlineStr">
        <is>
          <t>224501.3125</t>
        </is>
      </c>
      <c r="K5" t="inlineStr">
        <is>
          <t>683019.7932</t>
        </is>
      </c>
      <c r="L5" t="inlineStr">
        <is>
          <t>666733.9532</t>
        </is>
      </c>
      <c r="M5" t="inlineStr">
        <is>
          <t>675596.43</t>
        </is>
      </c>
    </row>
    <row r="6">
      <c r="A6" t="inlineStr">
        <is>
          <t>At the end of the period</t>
        </is>
      </c>
      <c r="B6" t="inlineStr">
        <is>
          <t>219277.0243</t>
        </is>
      </c>
      <c r="C6" t="inlineStr">
        <is>
          <t>219347.6943</t>
        </is>
      </c>
      <c r="D6" t="inlineStr">
        <is>
          <t>219420.3643</t>
        </is>
      </c>
      <c r="E6" t="inlineStr">
        <is>
          <t>219490.9243</t>
        </is>
      </c>
      <c r="F6" t="inlineStr">
        <is>
          <t>219564.4143</t>
        </is>
      </c>
      <c r="G6" t="inlineStr">
        <is>
          <t>224287.1637</t>
        </is>
      </c>
      <c r="H6" t="inlineStr">
        <is>
          <t>224393.6502</t>
        </is>
      </c>
      <c r="I6" t="inlineStr">
        <is>
          <t>224501.3125</t>
        </is>
      </c>
      <c r="J6" t="inlineStr">
        <is>
          <t>683019.7932</t>
        </is>
      </c>
      <c r="K6" t="inlineStr">
        <is>
          <t>666733.9532</t>
        </is>
      </c>
      <c r="L6" t="inlineStr">
        <is>
          <t>675596.43</t>
        </is>
      </c>
      <c r="M6" t="inlineStr">
        <is>
          <t>681841.06</t>
        </is>
      </c>
    </row>
    <row r="7">
      <c r="A7" t="inlineStr">
        <is>
          <t>Change</t>
        </is>
      </c>
      <c r="B7" t="inlineStr">
        <is>
          <t>72.69</t>
        </is>
      </c>
      <c r="C7" t="inlineStr">
        <is>
          <t>70.67</t>
        </is>
      </c>
      <c r="D7" t="inlineStr">
        <is>
          <t>72.67</t>
        </is>
      </c>
      <c r="E7" t="inlineStr">
        <is>
          <t>70.56</t>
        </is>
      </c>
      <c r="F7" t="inlineStr">
        <is>
          <t>73.49</t>
        </is>
      </c>
      <c r="G7" t="inlineStr">
        <is>
          <t>4722.7494</t>
        </is>
      </c>
      <c r="H7" t="inlineStr">
        <is>
          <t>106.4865</t>
        </is>
      </c>
      <c r="I7" t="inlineStr">
        <is>
          <t>107.6624</t>
        </is>
      </c>
      <c r="J7" t="inlineStr">
        <is>
          <t>458518.4807</t>
        </is>
      </c>
      <c r="K7" t="inlineStr">
        <is>
          <t>-16285.84</t>
        </is>
      </c>
      <c r="L7" t="inlineStr">
        <is>
          <t>8862.4768</t>
        </is>
      </c>
      <c r="M7" t="inlineStr">
        <is>
          <t>6244.63</t>
        </is>
      </c>
    </row>
    <row r="9">
      <c r="A9" t="inlineStr">
        <is>
          <t>Total profit</t>
        </is>
      </c>
      <c r="B9" t="inlineStr">
        <is>
          <t>72.69</t>
        </is>
      </c>
      <c r="C9" t="inlineStr">
        <is>
          <t>70.67</t>
        </is>
      </c>
      <c r="D9" t="inlineStr">
        <is>
          <t>72.67</t>
        </is>
      </c>
      <c r="E9" t="inlineStr">
        <is>
          <t>70.56</t>
        </is>
      </c>
      <c r="F9" t="inlineStr">
        <is>
          <t>73.49</t>
        </is>
      </c>
      <c r="G9" t="inlineStr">
        <is>
          <t>4722.7494</t>
        </is>
      </c>
      <c r="H9" t="inlineStr">
        <is>
          <t>106.4865</t>
        </is>
      </c>
      <c r="I9" t="inlineStr">
        <is>
          <t>107.6624</t>
        </is>
      </c>
      <c r="J9" t="inlineStr">
        <is>
          <t>2904.4307</t>
        </is>
      </c>
      <c r="K9" t="inlineStr">
        <is>
          <t>1524.73</t>
        </is>
      </c>
      <c r="L9" t="inlineStr">
        <is>
          <t>8862.4768</t>
        </is>
      </c>
      <c r="M9" t="inlineStr">
        <is>
          <t>6244.63</t>
        </is>
      </c>
    </row>
    <row r="10">
      <c r="A10" t="inlineStr">
        <is>
          <t>Total profit, %</t>
        </is>
      </c>
      <c r="B10" t="inlineStr">
        <is>
          <t>0.03</t>
        </is>
      </c>
      <c r="C10" t="inlineStr">
        <is>
          <t>0.03</t>
        </is>
      </c>
      <c r="D10" t="inlineStr">
        <is>
          <t>0.03</t>
        </is>
      </c>
      <c r="E10" t="inlineStr">
        <is>
          <t>0.03</t>
        </is>
      </c>
      <c r="F10" t="inlineStr">
        <is>
          <t>0.03</t>
        </is>
      </c>
      <c r="G10" t="inlineStr">
        <is>
          <t>2.15</t>
        </is>
      </c>
      <c r="H10" t="inlineStr">
        <is>
          <t>0.05</t>
        </is>
      </c>
      <c r="I10" t="inlineStr">
        <is>
          <t>0.05</t>
        </is>
      </c>
      <c r="J10" t="inlineStr">
        <is>
          <t>0.43</t>
        </is>
      </c>
      <c r="K10" t="inlineStr">
        <is>
          <t>0.23</t>
        </is>
      </c>
      <c r="L10" t="inlineStr">
        <is>
          <t>1.33</t>
        </is>
      </c>
      <c r="M10" t="inlineStr">
        <is>
          <t>0.92</t>
        </is>
      </c>
    </row>
    <row r="11">
      <c r="A11" t="inlineStr">
        <is>
          <t>Net profit from sales</t>
        </is>
      </c>
      <c r="B11" t="inlineStr">
        <is>
          <t>-</t>
        </is>
      </c>
      <c r="C11" t="inlineStr">
        <is>
          <t>-</t>
        </is>
      </c>
      <c r="D11" t="inlineStr">
        <is>
          <t>-</t>
        </is>
      </c>
      <c r="E11" t="inlineStr">
        <is>
          <t>-</t>
        </is>
      </c>
      <c r="F11" t="inlineStr">
        <is>
          <t>-</t>
        </is>
      </c>
      <c r="G11" t="inlineStr">
        <is>
          <t>-</t>
        </is>
      </c>
      <c r="H11" t="inlineStr">
        <is>
          <t>-</t>
        </is>
      </c>
      <c r="I11" t="inlineStr">
        <is>
          <t>-</t>
        </is>
      </c>
      <c r="J11" t="inlineStr">
        <is>
          <t>43.95</t>
        </is>
      </c>
      <c r="K11" t="inlineStr">
        <is>
          <t>-</t>
        </is>
      </c>
      <c r="L11" t="inlineStr">
        <is>
          <t>197.6</t>
        </is>
      </c>
      <c r="M11" t="inlineStr">
        <is>
          <t>-</t>
        </is>
      </c>
    </row>
    <row r="12">
      <c r="A12" t="inlineStr">
        <is>
          <t>Profit from price change</t>
        </is>
      </c>
      <c r="B12" t="inlineStr">
        <is>
          <t>-</t>
        </is>
      </c>
      <c r="C12" t="inlineStr">
        <is>
          <t>-</t>
        </is>
      </c>
      <c r="D12" t="inlineStr">
        <is>
          <t>-</t>
        </is>
      </c>
      <c r="E12" t="inlineStr">
        <is>
          <t>-</t>
        </is>
      </c>
      <c r="F12" t="inlineStr">
        <is>
          <t>-</t>
        </is>
      </c>
      <c r="G12" t="inlineStr">
        <is>
          <t>3.5294</t>
        </is>
      </c>
      <c r="H12" t="inlineStr">
        <is>
          <t>21.1765</t>
        </is>
      </c>
      <c r="I12" t="inlineStr">
        <is>
          <t>21.8824</t>
        </is>
      </c>
      <c r="J12" t="inlineStr">
        <is>
          <t>2711.5007</t>
        </is>
      </c>
      <c r="K12" t="inlineStr">
        <is>
          <t>-1252.37</t>
        </is>
      </c>
      <c r="L12" t="inlineStr">
        <is>
          <t>8209.7168</t>
        </is>
      </c>
      <c r="M12" t="inlineStr">
        <is>
          <t>5604.21</t>
        </is>
      </c>
    </row>
    <row r="13">
      <c r="A13" t="inlineStr">
        <is>
          <t>Profit from sales</t>
        </is>
      </c>
      <c r="B13" t="inlineStr">
        <is>
          <t>-</t>
        </is>
      </c>
      <c r="C13" t="inlineStr">
        <is>
          <t>-</t>
        </is>
      </c>
      <c r="D13" t="inlineStr">
        <is>
          <t>-</t>
        </is>
      </c>
      <c r="E13" t="inlineStr">
        <is>
          <t>-</t>
        </is>
      </c>
      <c r="F13" t="inlineStr">
        <is>
          <t>-</t>
        </is>
      </c>
      <c r="G13" t="inlineStr">
        <is>
          <t>-</t>
        </is>
      </c>
      <c r="H13" t="inlineStr">
        <is>
          <t>-</t>
        </is>
      </c>
      <c r="I13" t="inlineStr">
        <is>
          <t>-</t>
        </is>
      </c>
      <c r="J13" t="inlineStr">
        <is>
          <t>43.95</t>
        </is>
      </c>
      <c r="K13" t="inlineStr">
        <is>
          <t>-</t>
        </is>
      </c>
      <c r="L13" t="inlineStr">
        <is>
          <t>520.62</t>
        </is>
      </c>
      <c r="M13" t="inlineStr">
        <is>
          <t>-</t>
        </is>
      </c>
    </row>
    <row r="14">
      <c r="A14" t="inlineStr">
        <is>
          <t>Dividends</t>
        </is>
      </c>
      <c r="B14" t="inlineStr">
        <is>
          <t>72.69</t>
        </is>
      </c>
      <c r="C14" t="inlineStr">
        <is>
          <t>70.67</t>
        </is>
      </c>
      <c r="D14" t="inlineStr">
        <is>
          <t>72.67</t>
        </is>
      </c>
      <c r="E14" t="inlineStr">
        <is>
          <t>70.56</t>
        </is>
      </c>
      <c r="F14" t="inlineStr">
        <is>
          <t>73.49</t>
        </is>
      </c>
      <c r="G14" t="inlineStr">
        <is>
          <t>4719.22</t>
        </is>
      </c>
      <c r="H14" t="inlineStr">
        <is>
          <t>85.31</t>
        </is>
      </c>
      <c r="I14" t="inlineStr">
        <is>
          <t>85.78</t>
        </is>
      </c>
      <c r="J14" t="inlineStr">
        <is>
          <t>148.98</t>
        </is>
      </c>
      <c r="K14" t="inlineStr">
        <is>
          <t>2777.1</t>
        </is>
      </c>
      <c r="L14" t="inlineStr">
        <is>
          <t>132.14</t>
        </is>
      </c>
      <c r="M14" t="inlineStr">
        <is>
          <t>640.42</t>
        </is>
      </c>
    </row>
    <row r="15">
      <c r="A15" t="inlineStr">
        <is>
          <t>Taxes</t>
        </is>
      </c>
      <c r="B15" t="inlineStr">
        <is>
          <t>-</t>
        </is>
      </c>
      <c r="C15" t="inlineStr">
        <is>
          <t>-</t>
        </is>
      </c>
      <c r="D15" t="inlineStr">
        <is>
          <t>-</t>
        </is>
      </c>
      <c r="E15" t="inlineStr">
        <is>
          <t>-</t>
        </is>
      </c>
      <c r="F15" t="inlineStr">
        <is>
          <t>-</t>
        </is>
      </c>
      <c r="G15" t="inlineStr">
        <is>
          <t>-</t>
        </is>
      </c>
      <c r="H15" t="inlineStr">
        <is>
          <t>-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-</t>
        </is>
      </c>
      <c r="M15" t="inlineStr">
        <is>
          <t>-</t>
        </is>
      </c>
    </row>
    <row r="16">
      <c r="A16" t="inlineStr">
        <is>
          <t>Commissions</t>
        </is>
      </c>
      <c r="B16" t="inlineStr">
        <is>
          <t>-</t>
        </is>
      </c>
      <c r="C16" t="inlineStr">
        <is>
          <t>-</t>
        </is>
      </c>
      <c r="D16" t="inlineStr">
        <is>
          <t>-</t>
        </is>
      </c>
      <c r="E16" t="inlineStr">
        <is>
          <t>-</t>
        </is>
      </c>
      <c r="F16" t="inlineStr">
        <is>
          <t>-</t>
        </is>
      </c>
      <c r="G16" t="inlineStr">
        <is>
          <t>-</t>
        </is>
      </c>
      <c r="H16" t="inlineStr">
        <is>
          <t>-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-</t>
        </is>
      </c>
      <c r="M16" t="inlineStr">
        <is>
          <t>-</t>
        </is>
      </c>
    </row>
    <row r="17">
      <c r="A17" t="inlineStr">
        <is>
          <t>Other</t>
        </is>
      </c>
      <c r="B17" t="inlineStr">
        <is>
          <t>-</t>
        </is>
      </c>
      <c r="C17" t="inlineStr">
        <is>
          <t>-</t>
        </is>
      </c>
      <c r="D17" t="inlineStr">
        <is>
          <t>-</t>
        </is>
      </c>
      <c r="E17" t="inlineStr">
        <is>
          <t>-</t>
        </is>
      </c>
      <c r="F17" t="inlineStr">
        <is>
          <t>-</t>
        </is>
      </c>
      <c r="G17" t="inlineStr">
        <is>
          <t>-</t>
        </is>
      </c>
      <c r="H17" t="inlineStr">
        <is>
          <t>-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-</t>
        </is>
      </c>
      <c r="M17" t="inlineStr">
        <is>
          <t>-</t>
        </is>
      </c>
    </row>
    <row r="19">
      <c r="A19" t="inlineStr">
        <is>
          <t>Turnover</t>
        </is>
      </c>
      <c r="B19" t="inlineStr">
        <is>
          <t>72.69</t>
        </is>
      </c>
      <c r="C19" t="inlineStr">
        <is>
          <t>70.67</t>
        </is>
      </c>
      <c r="D19" t="inlineStr">
        <is>
          <t>72.67</t>
        </is>
      </c>
      <c r="E19" t="inlineStr">
        <is>
          <t>70.56</t>
        </is>
      </c>
      <c r="F19" t="inlineStr">
        <is>
          <t>73.49</t>
        </is>
      </c>
      <c r="G19" t="inlineStr">
        <is>
          <t>804719.22</t>
        </is>
      </c>
      <c r="H19" t="inlineStr">
        <is>
          <t>85.31</t>
        </is>
      </c>
      <c r="I19" t="inlineStr">
        <is>
          <t>85.78</t>
        </is>
      </c>
      <c r="J19" t="inlineStr">
        <is>
          <t>2184721.9311</t>
        </is>
      </c>
      <c r="K19" t="inlineStr">
        <is>
          <t>23016.38</t>
        </is>
      </c>
      <c r="L19" t="inlineStr">
        <is>
          <t>997873.3532</t>
        </is>
      </c>
      <c r="M19" t="inlineStr">
        <is>
          <t>20268.42</t>
        </is>
      </c>
    </row>
    <row r="20">
      <c r="A20" t="inlineStr">
        <is>
          <t>Total purchases</t>
        </is>
      </c>
      <c r="B20" t="inlineStr">
        <is>
          <t>72.69</t>
        </is>
      </c>
      <c r="C20" t="inlineStr">
        <is>
          <t>70.67</t>
        </is>
      </c>
      <c r="D20" t="inlineStr">
        <is>
          <t>72.67</t>
        </is>
      </c>
      <c r="E20" t="inlineStr">
        <is>
          <t>70.56</t>
        </is>
      </c>
      <c r="F20" t="inlineStr">
        <is>
          <t>73.49</t>
        </is>
      </c>
      <c r="G20" t="inlineStr">
        <is>
          <t>404719.22</t>
        </is>
      </c>
      <c r="H20" t="inlineStr">
        <is>
          <t>85.31</t>
        </is>
      </c>
      <c r="I20" t="inlineStr">
        <is>
          <t>85.78</t>
        </is>
      </c>
      <c r="J20" t="inlineStr">
        <is>
          <t>1320242.4811</t>
        </is>
      </c>
      <c r="K20" t="inlineStr">
        <is>
          <t>2777.1</t>
        </is>
      </c>
      <c r="L20" t="inlineStr">
        <is>
          <t>507711.7432</t>
        </is>
      </c>
      <c r="M20" t="inlineStr">
        <is>
          <t>640.42</t>
        </is>
      </c>
    </row>
    <row r="21">
      <c r="A21" t="inlineStr">
        <is>
          <t>Total sales</t>
        </is>
      </c>
      <c r="B21" t="inlineStr">
        <is>
          <t>-</t>
        </is>
      </c>
      <c r="C21" t="inlineStr">
        <is>
          <t>-</t>
        </is>
      </c>
      <c r="D21" t="inlineStr">
        <is>
          <t>-</t>
        </is>
      </c>
      <c r="E21" t="inlineStr">
        <is>
          <t>-</t>
        </is>
      </c>
      <c r="F21" t="inlineStr">
        <is>
          <t>-</t>
        </is>
      </c>
      <c r="G21" t="inlineStr">
        <is>
          <t>400000</t>
        </is>
      </c>
      <c r="H21" t="inlineStr">
        <is>
          <t>-</t>
        </is>
      </c>
      <c r="I21" t="inlineStr">
        <is>
          <t>-</t>
        </is>
      </c>
      <c r="J21" t="inlineStr">
        <is>
          <t>864479.45</t>
        </is>
      </c>
      <c r="K21" t="inlineStr">
        <is>
          <t>20239.28</t>
        </is>
      </c>
      <c r="L21" t="inlineStr">
        <is>
          <t>490161.61</t>
        </is>
      </c>
      <c r="M21" t="inlineStr">
        <is>
          <t>19628</t>
        </is>
      </c>
    </row>
    <row r="23">
      <c r="A23" t="inlineStr">
        <is>
          <t>Total trades</t>
        </is>
      </c>
      <c r="B23" t="inlineStr">
        <is>
          <t>1</t>
        </is>
      </c>
      <c r="C23" t="inlineStr">
        <is>
          <t>1</t>
        </is>
      </c>
      <c r="D23" t="inlineStr">
        <is>
          <t>1</t>
        </is>
      </c>
      <c r="E23" t="inlineStr">
        <is>
          <t>1</t>
        </is>
      </c>
      <c r="F23" t="inlineStr">
        <is>
          <t>1</t>
        </is>
      </c>
      <c r="G23" t="inlineStr">
        <is>
          <t>5</t>
        </is>
      </c>
      <c r="H23" t="inlineStr">
        <is>
          <t>1</t>
        </is>
      </c>
      <c r="I23" t="inlineStr">
        <is>
          <t>1</t>
        </is>
      </c>
      <c r="J23" t="inlineStr">
        <is>
          <t>16</t>
        </is>
      </c>
      <c r="K23" t="inlineStr">
        <is>
          <t>8</t>
        </is>
      </c>
      <c r="L23" t="inlineStr">
        <is>
          <t>22</t>
        </is>
      </c>
      <c r="M23" t="inlineStr">
        <is>
          <t>3</t>
        </is>
      </c>
    </row>
    <row r="24">
      <c r="A24" t="inlineStr">
        <is>
          <t>Buy trades</t>
        </is>
      </c>
      <c r="B24" t="inlineStr">
        <is>
          <t>1</t>
        </is>
      </c>
      <c r="C24" t="inlineStr">
        <is>
          <t>1</t>
        </is>
      </c>
      <c r="D24" t="inlineStr">
        <is>
          <t>1</t>
        </is>
      </c>
      <c r="E24" t="inlineStr">
        <is>
          <t>1</t>
        </is>
      </c>
      <c r="F24" t="inlineStr">
        <is>
          <t>1</t>
        </is>
      </c>
      <c r="G24" t="inlineStr">
        <is>
          <t>3</t>
        </is>
      </c>
      <c r="H24" t="inlineStr">
        <is>
          <t>1</t>
        </is>
      </c>
      <c r="I24" t="inlineStr">
        <is>
          <t>1</t>
        </is>
      </c>
      <c r="J24" t="inlineStr">
        <is>
          <t>11</t>
        </is>
      </c>
      <c r="K24" t="inlineStr">
        <is>
          <t>7</t>
        </is>
      </c>
      <c r="L24" t="inlineStr">
        <is>
          <t>16</t>
        </is>
      </c>
      <c r="M24" t="inlineStr">
        <is>
          <t>2</t>
        </is>
      </c>
    </row>
    <row r="25">
      <c r="A25" t="inlineStr">
        <is>
          <t>Sell trades</t>
        </is>
      </c>
      <c r="B25" t="inlineStr">
        <is>
          <t>-</t>
        </is>
      </c>
      <c r="C25" t="inlineStr">
        <is>
          <t>-</t>
        </is>
      </c>
      <c r="D25" t="inlineStr">
        <is>
          <t>-</t>
        </is>
      </c>
      <c r="E25" t="inlineStr">
        <is>
          <t>-</t>
        </is>
      </c>
      <c r="F25" t="inlineStr">
        <is>
          <t>-</t>
        </is>
      </c>
      <c r="G25" t="inlineStr">
        <is>
          <t>2</t>
        </is>
      </c>
      <c r="H25" t="inlineStr">
        <is>
          <t>-</t>
        </is>
      </c>
      <c r="I25" t="inlineStr">
        <is>
          <t>-</t>
        </is>
      </c>
      <c r="J25" t="inlineStr">
        <is>
          <t>5</t>
        </is>
      </c>
      <c r="K25" t="inlineStr">
        <is>
          <t>1</t>
        </is>
      </c>
      <c r="L25" t="inlineStr">
        <is>
          <t>6</t>
        </is>
      </c>
      <c r="M25" t="inlineStr">
        <is>
          <t>1</t>
        </is>
      </c>
    </row>
    <row r="27">
      <c r="A27" t="inlineStr">
        <is>
          <t>Cash funds</t>
        </is>
      </c>
      <c r="B27" t="inlineStr">
        <is>
          <t>-4638.7157</t>
        </is>
      </c>
      <c r="C27" t="inlineStr">
        <is>
          <t>-4638.7157</t>
        </is>
      </c>
      <c r="D27" t="inlineStr">
        <is>
          <t>-4638.7157</t>
        </is>
      </c>
      <c r="E27" t="inlineStr">
        <is>
          <t>-4638.7157</t>
        </is>
      </c>
      <c r="F27" t="inlineStr">
        <is>
          <t>-4638.7157</t>
        </is>
      </c>
      <c r="G27" t="inlineStr">
        <is>
          <t>-4638.7157</t>
        </is>
      </c>
      <c r="H27" t="inlineStr">
        <is>
          <t>-4638.7157</t>
        </is>
      </c>
      <c r="I27" t="inlineStr">
        <is>
          <t>-4638.7157</t>
        </is>
      </c>
      <c r="J27" t="inlineStr">
        <is>
          <t>-4638.7168</t>
        </is>
      </c>
      <c r="K27" t="inlineStr">
        <is>
          <t>-2210.0068</t>
        </is>
      </c>
      <c r="L27" t="inlineStr">
        <is>
          <t>-19628</t>
        </is>
      </c>
      <c r="M27" t="inlineStr">
        <is>
          <t>-</t>
        </is>
      </c>
    </row>
    <row r="28">
      <c r="A28" t="inlineStr">
        <is>
          <t>Deposited</t>
        </is>
      </c>
      <c r="B28" t="inlineStr">
        <is>
          <t>-</t>
        </is>
      </c>
      <c r="C28" t="inlineStr">
        <is>
          <t>-</t>
        </is>
      </c>
      <c r="D28" t="inlineStr">
        <is>
          <t>-</t>
        </is>
      </c>
      <c r="E28" t="inlineStr">
        <is>
          <t>-</t>
        </is>
      </c>
      <c r="F28" t="inlineStr">
        <is>
          <t>-</t>
        </is>
      </c>
      <c r="G28" t="inlineStr">
        <is>
          <t>-</t>
        </is>
      </c>
      <c r="H28" t="inlineStr">
        <is>
          <t>-</t>
        </is>
      </c>
      <c r="I28" t="inlineStr">
        <is>
          <t>-</t>
        </is>
      </c>
      <c r="J28" t="inlineStr">
        <is>
          <t>455614.05</t>
        </is>
      </c>
      <c r="K28" t="inlineStr">
        <is>
          <t>-</t>
        </is>
      </c>
      <c r="L28" t="inlineStr">
        <is>
          <t>-</t>
        </is>
      </c>
      <c r="M28" t="inlineStr">
        <is>
          <t>-</t>
        </is>
      </c>
    </row>
    <row r="29">
      <c r="A29" t="inlineStr">
        <is>
          <t>Withdrawn</t>
        </is>
      </c>
      <c r="B29" t="inlineStr">
        <is>
          <t>-</t>
        </is>
      </c>
      <c r="C29" t="inlineStr">
        <is>
          <t>-</t>
        </is>
      </c>
      <c r="D29" t="inlineStr">
        <is>
          <t>-</t>
        </is>
      </c>
      <c r="E29" t="inlineStr">
        <is>
          <t>-</t>
        </is>
      </c>
      <c r="F29" t="inlineStr">
        <is>
          <t>-</t>
        </is>
      </c>
      <c r="G29" t="inlineStr">
        <is>
          <t>-</t>
        </is>
      </c>
      <c r="H29" t="inlineStr">
        <is>
          <t>-</t>
        </is>
      </c>
      <c r="I29" t="inlineStr">
        <is>
          <t>-</t>
        </is>
      </c>
      <c r="J29" t="inlineStr">
        <is>
          <t>-</t>
        </is>
      </c>
      <c r="K29" t="inlineStr">
        <is>
          <t>17810.57</t>
        </is>
      </c>
      <c r="L29" t="inlineStr">
        <is>
          <t>-</t>
        </is>
      </c>
      <c r="M29" t="inlineStr">
        <is>
          <t>-</t>
        </is>
      </c>
    </row>
    <row r="30">
      <c r="A30" t="inlineStr">
        <is>
          <t>Available funds</t>
        </is>
      </c>
      <c r="B30" t="inlineStr">
        <is>
          <t>-4638.7157</t>
        </is>
      </c>
      <c r="C30" t="inlineStr">
        <is>
          <t>-4638.7157</t>
        </is>
      </c>
      <c r="D30" t="inlineStr">
        <is>
          <t>-4638.7157</t>
        </is>
      </c>
      <c r="E30" t="inlineStr">
        <is>
          <t>-4638.7157</t>
        </is>
      </c>
      <c r="F30" t="inlineStr">
        <is>
          <t>-4638.7157</t>
        </is>
      </c>
      <c r="G30" t="inlineStr">
        <is>
          <t>-4638.7157</t>
        </is>
      </c>
      <c r="H30" t="inlineStr">
        <is>
          <t>-4638.7157</t>
        </is>
      </c>
      <c r="I30" t="inlineStr">
        <is>
          <t>-4638.7157</t>
        </is>
      </c>
      <c r="J30" t="inlineStr">
        <is>
          <t>-4638.7168</t>
        </is>
      </c>
      <c r="K30" t="inlineStr">
        <is>
          <t>-2210.0068</t>
        </is>
      </c>
      <c r="L30" t="inlineStr">
        <is>
          <t>-19628</t>
        </is>
      </c>
      <c r="M30" t="inlineStr">
        <is>
          <t>-</t>
        </is>
      </c>
    </row>
    <row r="32">
      <c r="A32" t="inlineStr">
        <is>
          <t>S&amp;P 500 Market Performance</t>
        </is>
      </c>
      <c r="B32" t="inlineStr">
        <is>
          <t>-12834.6945</t>
        </is>
      </c>
      <c r="C32" t="inlineStr">
        <is>
          <t>-1236.3463</t>
        </is>
      </c>
      <c r="D32" t="inlineStr">
        <is>
          <t>13784.8796</t>
        </is>
      </c>
      <c r="E32" t="inlineStr">
        <is>
          <t>10595.1977</t>
        </is>
      </c>
      <c r="F32" t="inlineStr">
        <is>
          <t>5680.7953</t>
        </is>
      </c>
      <c r="G32" t="inlineStr">
        <is>
          <t>4505.364</t>
        </is>
      </c>
      <c r="H32" t="inlineStr">
        <is>
          <t>7347.0084</t>
        </is>
      </c>
      <c r="I32" t="inlineStr">
        <is>
          <t>5965.7089</t>
        </is>
      </c>
      <c r="J32" t="inlineStr">
        <is>
          <t>697.9323</t>
        </is>
      </c>
      <c r="K32" t="inlineStr">
        <is>
          <t>-1512.4033</t>
        </is>
      </c>
      <c r="L32" t="inlineStr">
        <is>
          <t>11774.8079</t>
        </is>
      </c>
      <c r="M32" t="inlineStr">
        <is>
          <t>-1318.0560</t>
        </is>
      </c>
    </row>
    <row r="33">
      <c r="A33" t="inlineStr">
        <is>
          <t>S&amp;P 500 Market Performance, %</t>
        </is>
      </c>
      <c r="B33" t="inlineStr">
        <is>
          <t>-5.86</t>
        </is>
      </c>
      <c r="C33" t="inlineStr">
        <is>
          <t>-0.56</t>
        </is>
      </c>
      <c r="D33" t="inlineStr">
        <is>
          <t>6.28</t>
        </is>
      </c>
      <c r="E33" t="inlineStr">
        <is>
          <t>4.83</t>
        </is>
      </c>
      <c r="F33" t="inlineStr">
        <is>
          <t>2.58</t>
        </is>
      </c>
      <c r="G33" t="inlineStr">
        <is>
          <t>2.05</t>
        </is>
      </c>
      <c r="H33" t="inlineStr">
        <is>
          <t>3.28</t>
        </is>
      </c>
      <c r="I33" t="inlineStr">
        <is>
          <t>2.65</t>
        </is>
      </c>
      <c r="J33" t="inlineStr">
        <is>
          <t>0.1</t>
        </is>
      </c>
      <c r="K33" t="inlineStr">
        <is>
          <t>-0.23</t>
        </is>
      </c>
      <c r="L33" t="inlineStr">
        <is>
          <t>1.76</t>
        </is>
      </c>
      <c r="M33" t="inlineStr">
        <is>
          <t>-0.2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2026-02-07T21:13:42Z</dcterms:created>
  <dcterms:modified xmlns:dcterms="http://purl.org/dc/terms/" xmlns:xsi="http://www.w3.org/2001/XMLSchema-instance" xsi:type="dcterms:W3CDTF">2026-02-08T21:47:33Z</dcterms:modified>
  <cp:lastModifiedBy>Aladdin Zahran</cp:lastModifiedBy>
</cp:coreProperties>
</file>